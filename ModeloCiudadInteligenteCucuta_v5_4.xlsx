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ortillo\Desktop\Ciudad Inteligente\iot\"/>
    </mc:Choice>
  </mc:AlternateContent>
  <xr:revisionPtr revIDLastSave="0" documentId="13_ncr:1_{B3E09B04-4E62-407A-BF01-07FB53F3B3EE}" xr6:coauthVersionLast="47" xr6:coauthVersionMax="47" xr10:uidLastSave="{00000000-0000-0000-0000-000000000000}"/>
  <bookViews>
    <workbookView xWindow="390" yWindow="390" windowWidth="20640" windowHeight="14430" tabRatio="655" firstSheet="1" activeTab="1" xr2:uid="{00000000-000D-0000-FFFF-FFFF00000000}"/>
  </bookViews>
  <sheets>
    <sheet name="Portada" sheetId="1" r:id="rId1"/>
    <sheet name="Capital Humano" sheetId="2" r:id="rId2"/>
    <sheet name="Cohesión Social" sheetId="3" r:id="rId3"/>
    <sheet name="Economía" sheetId="4" r:id="rId4"/>
    <sheet name="Gobernanza" sheetId="5" r:id="rId5"/>
    <sheet name="Medio Ambiente" sheetId="6" r:id="rId6"/>
    <sheet name="Frontera" sheetId="7" r:id="rId7"/>
    <sheet name="Resumen Puntaj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2" l="1"/>
  <c r="E11" i="8"/>
  <c r="E10" i="8"/>
  <c r="D10" i="8"/>
  <c r="E9" i="8"/>
  <c r="D9" i="8"/>
  <c r="E8" i="8"/>
  <c r="D8" i="8"/>
  <c r="E7" i="8"/>
  <c r="D7" i="8"/>
  <c r="E6" i="8"/>
  <c r="D6" i="8"/>
  <c r="D11" i="8" s="1"/>
  <c r="E5" i="8"/>
  <c r="D5" i="8"/>
  <c r="G13" i="7"/>
  <c r="G12" i="7"/>
  <c r="G11" i="7"/>
  <c r="G10" i="7"/>
  <c r="G9" i="7"/>
  <c r="G8" i="7"/>
  <c r="G7" i="7"/>
  <c r="G6" i="7"/>
  <c r="G14" i="7" s="1"/>
  <c r="C10" i="8" s="1"/>
  <c r="F10" i="8" s="1"/>
  <c r="G5" i="7"/>
  <c r="G4" i="7"/>
  <c r="G14" i="6"/>
  <c r="C9" i="8" s="1"/>
  <c r="F9" i="8" s="1"/>
  <c r="G13" i="6"/>
  <c r="G12" i="6"/>
  <c r="G11" i="6"/>
  <c r="G10" i="6"/>
  <c r="G9" i="6"/>
  <c r="G8" i="6"/>
  <c r="G7" i="6"/>
  <c r="G6" i="6"/>
  <c r="G5" i="6"/>
  <c r="G4" i="6"/>
  <c r="G3" i="6"/>
  <c r="G9" i="5"/>
  <c r="G10" i="5" s="1"/>
  <c r="C8" i="8" s="1"/>
  <c r="F8" i="8" s="1"/>
  <c r="G8" i="5"/>
  <c r="G7" i="5"/>
  <c r="G6" i="5"/>
  <c r="G5" i="5"/>
  <c r="G4" i="5"/>
  <c r="G3" i="5"/>
  <c r="G9" i="4"/>
  <c r="C7" i="8" s="1"/>
  <c r="F7" i="8" s="1"/>
  <c r="G8" i="4"/>
  <c r="G7" i="4"/>
  <c r="G6" i="4"/>
  <c r="G5" i="4"/>
  <c r="G4" i="4"/>
  <c r="G3" i="4"/>
  <c r="G16" i="3"/>
  <c r="C6" i="8" s="1"/>
  <c r="F6" i="8" s="1"/>
  <c r="G15" i="3"/>
  <c r="G14" i="3"/>
  <c r="G13" i="3"/>
  <c r="G12" i="3"/>
  <c r="G11" i="3"/>
  <c r="G10" i="3"/>
  <c r="G9" i="3"/>
  <c r="G8" i="3"/>
  <c r="G7" i="3"/>
  <c r="G6" i="3"/>
  <c r="G5" i="3"/>
  <c r="G4" i="3"/>
  <c r="G3" i="3"/>
  <c r="G15" i="2"/>
  <c r="G13" i="2"/>
  <c r="G12" i="2"/>
  <c r="G11" i="2"/>
  <c r="G10" i="2"/>
  <c r="G9" i="2"/>
  <c r="G8" i="2"/>
  <c r="G7" i="2"/>
  <c r="G6" i="2"/>
  <c r="G5" i="2"/>
  <c r="G4" i="2"/>
  <c r="G16" i="2" s="1"/>
  <c r="C5" i="8" s="1"/>
  <c r="F5" i="8" s="1"/>
  <c r="F11" i="8" s="1"/>
  <c r="G3" i="2"/>
  <c r="D16" i="1"/>
  <c r="C16" i="1"/>
</calcChain>
</file>

<file path=xl/sharedStrings.xml><?xml version="1.0" encoding="utf-8"?>
<sst xmlns="http://schemas.openxmlformats.org/spreadsheetml/2006/main" count="483" uniqueCount="307">
  <si>
    <t>MODELO DE CIUDAD INTELIGENTE</t>
  </si>
  <si>
    <t>Cúcuta – Norte de Santander, Colombia</t>
  </si>
  <si>
    <t>Dimensión</t>
  </si>
  <si>
    <t>N° Indicadores</t>
  </si>
  <si>
    <t>Peso (%)</t>
  </si>
  <si>
    <t>Fuente Principal</t>
  </si>
  <si>
    <t>Capital Humano</t>
  </si>
  <si>
    <t>Euromonitor / OpenStreetMap / UNESCO</t>
  </si>
  <si>
    <t>Cohesión Social</t>
  </si>
  <si>
    <t>Numbeo / Euromonitor / Walk Free Foundation</t>
  </si>
  <si>
    <t>Economía</t>
  </si>
  <si>
    <t>World Bank / Euromonitor / Fortune 500</t>
  </si>
  <si>
    <t>Gobernanza</t>
  </si>
  <si>
    <t>United Nations / World Bank / WCCD</t>
  </si>
  <si>
    <t>Medio Ambiente</t>
  </si>
  <si>
    <t>World Bank / Yale / IQAir / FAO</t>
  </si>
  <si>
    <t>Frontera</t>
  </si>
  <si>
    <t>DANE / DIAN / Migración Colombia / BCV</t>
  </si>
  <si>
    <t>TOTAL</t>
  </si>
  <si>
    <t>Instrucciones de uso</t>
  </si>
  <si>
    <t>1. Cada hoja contiene los indicadores de una dimensión con su descripción, fuente y columna de puntuación (0-10).</t>
  </si>
  <si>
    <t>2. Ingrese los valores reales de Cúcuta en la columna 'Valor Real'. El puntaje se calcula automáticamente.</t>
  </si>
  <si>
    <t>3. La hoja 'Resumen Puntajes' consolida el índice compuesto final.</t>
  </si>
  <si>
    <t>4. Los pesos por dimensión pueden ajustarse en la columna 'Peso' del Resumen.</t>
  </si>
  <si>
    <t>INDICADORES DE CAPITAL HUMANO</t>
  </si>
  <si>
    <t>No.</t>
  </si>
  <si>
    <t>Indicador</t>
  </si>
  <si>
    <t>Descripción / Unidad de medida</t>
  </si>
  <si>
    <t>Tipo</t>
  </si>
  <si>
    <t>Valor Real</t>
  </si>
  <si>
    <t>Ref. Óptima</t>
  </si>
  <si>
    <t>Puntaje
(0-10)</t>
  </si>
  <si>
    <t>Justificación del indicador</t>
  </si>
  <si>
    <t>Link de fuente</t>
  </si>
  <si>
    <t>Año del dato</t>
  </si>
  <si>
    <t>Cobertura neta Educación Básica Secundaria</t>
  </si>
  <si>
    <t>Porcentaje (%) — Estudiantes en edad de cursar grados 6° a 9° efectivamente matriculados.</t>
  </si>
  <si>
    <t>Positivo ↑</t>
  </si>
  <si>
    <t>Mide el acceso a educación secundaria básica. Una Smart City requiere capital humano formado; ciudades con baja cobertura en este nivel tienen mayor informalidad y menor adopción tecnológica.</t>
  </si>
  <si>
    <t>https://fundacionexe.org.co/wp-content/uploads/2024/03/%C2%BFComo-esta-Cucuta-en-educacion-Retos-y-prioridades-2024-2027.pdf</t>
  </si>
  <si>
    <t>2022</t>
  </si>
  <si>
    <t>Cobertura neta Educación Media</t>
  </si>
  <si>
    <t>Porcentaje (%) — Estudiantes en edad de cursar grados 10° y 11° efectivamente matriculados.</t>
  </si>
  <si>
    <t>Cuantifica el abandono escolar antes del bachillerato. La brecha entre secundaria y media revela el principal cuello de botella del capital humano en ciudades fronterizas como Cúcuta.</t>
  </si>
  <si>
    <t>Cobertura Educación Superior</t>
  </si>
  <si>
    <t>Porcentaje (%) — Tasa de cobertura en educación superior (técnica, tecnológica o universitaria).</t>
  </si>
  <si>
    <t>Indica qué proporción de jóvenes accede a formación superior. Sin educación universitaria no hay innovación local ni mercado laboral calificado para sostener una economía digital.</t>
  </si>
  <si>
    <t>https://fundacionexe.org.co/wp-content/uploads/2024/03/¿Como-esta-Cucuta-en-educacion-Retos-y-prioridades-2024-2027.pdf</t>
  </si>
  <si>
    <t>Conectividad escolar (% sedes con internet activo)</t>
  </si>
  <si>
    <t>Porcentaje (%) — Sedes educativas oficiales con conexión a internet activa.</t>
  </si>
  <si>
    <t>Mide la digitalización del sistema educativo. Una ciudad inteligente necesita que sus escuelas estén conectadas para formar ciudadanos digitales desde edad temprana.</t>
  </si>
  <si>
    <t>Tasa de analfabetismo (%)</t>
  </si>
  <si>
    <t>Porcentaje (%) — Población de 15 años y más que no sabe leer ni escribir. NEGATIVO: menor valor = mejor.</t>
  </si>
  <si>
    <t>Negativo ↓</t>
  </si>
  <si>
    <t>El analfabetismo limita directamente la adopción de servicios digitales y la participación ciudadana. Reducirlo es condición base para cualquier estrategia Smart City inclusiva.</t>
  </si>
  <si>
    <t>https://cucutacomovamos.com/wp-content/uploads/2022/02/informe-2019.pdf</t>
  </si>
  <si>
    <t>2018</t>
  </si>
  <si>
    <t>Participación en actividad física (% población)</t>
  </si>
  <si>
    <t>Porcentaje (%) — Población que participa en programas de actividad física, deporte o recreación.</t>
  </si>
  <si>
    <t>El sedentarismo genera altos costos en salud pública. Una Smart City promueve el bienestar físico a través de infraestructura deportiva y programas que reducen la carga del sistema sanitario.</t>
  </si>
  <si>
    <t>https://administrador.nortedesantander.gov.co/wp-content/uploads/2023/11/BALANCE-DE-GESTION-2020-2023-INDENORTE.pdf</t>
  </si>
  <si>
    <t>2023</t>
  </si>
  <si>
    <t>Tasa de mortalidad infantil (por 1.000 nv)</t>
  </si>
  <si>
    <t>Número de muertes de menores de 1 año por cada 1.000 nacidos vivos. NEGATIVO: menor valor = mejor. (Dato nacional Colombia — DANE no publica desagregación a nivel ciudad para todos los años)</t>
  </si>
  <si>
    <t>La mortalidad infantil refleja la calidad del sistema de salud y las condiciones socioeconómicas. Una ciudad inteligente garantiza que ningún niño muera por causas prevenibles.</t>
  </si>
  <si>
    <t>https://cucuta.gov.co/wp-content/uploads/2023/12/Indicadores-de-resultados.pdf</t>
  </si>
  <si>
    <t>Colegios con salas STEM o laboratorios TIC (%)</t>
  </si>
  <si>
    <t>Porcentaje (%) — Instituciones educativas con salas dotadas de computadores, robótica o labs TIC.</t>
  </si>
  <si>
    <t>Las salas STEM y laboratorios TIC son la infraestructura de innovación del futuro. Sin ellas, la ciudad no puede formar el talento digital que demanda una economía del conocimiento.</t>
  </si>
  <si>
    <t>Penetración internet fijo en hogares (%)</t>
  </si>
  <si>
    <t>Porcentaje (%) — Hogares con acceso a internet de banda ancha fija.</t>
  </si>
  <si>
    <t>El internet fijo es la infraestructura base de la economía digital. Sin conectividad en el hogar, los ciudadanos quedan excluidos del trabajo remoto, el comercio electrónico y los servicios digitales.</t>
  </si>
  <si>
    <t>https://mintic.gov.co/portal/inicio/Sala-de-prensa/MinTIC-en-los-medios/176311:Gobierno-y-operadores-privados-buscan-mejorar-conectividad-en-Norte-de-Santander</t>
  </si>
  <si>
    <t>2021</t>
  </si>
  <si>
    <t>Programas universitarios en TIC activos</t>
  </si>
  <si>
    <t>Número entero — Carreras vigentes en sistemas, software, telecomunicaciones o afines en IES de Cúcuta.</t>
  </si>
  <si>
    <t>Los programas TIC universitarios determinan cuántos ingenieros y desarrolladores locales puede producir la ciudad. Sin este talento, Cúcuta depende de importar conocimiento externo.</t>
  </si>
  <si>
    <t>https://ingsistemas.ufps.edu.co</t>
  </si>
  <si>
    <t>2024</t>
  </si>
  <si>
    <t>Universidades en TOP 500 mundial</t>
  </si>
  <si>
    <t>Número entero — Universidades en QS World University Rankings TOP 500. (0=ninguna / mayor=mejor)</t>
  </si>
  <si>
    <t>La presencia en rankings mundiales atrae inversión, investigación y talento internacional. Es el indicador más visible de la capacidad académica y de innovación de una ciudad.</t>
  </si>
  <si>
    <t>https://www.topuniversities.com/world-university-rankings/2025</t>
  </si>
  <si>
    <t>2025</t>
  </si>
  <si>
    <t>Tasa de alfabetización digital (%)</t>
  </si>
  <si>
    <t>Porcentaje (%) — Población de 5 años y más que usa internet desde cualquier dispositivo.</t>
  </si>
  <si>
    <t>Mide la inclusión digital real de la población. Sin alfabetización digital, la mayoría de los ciudadanos no puede beneficiarse de los servicios que ofrece una ciudad inteligente.</t>
  </si>
  <si>
    <t>https://cucuta.gov.co/mas-de-70-cucutenos-fueron-capacitados-en-alfabetizacion-digital/</t>
  </si>
  <si>
    <t>Índice de Pobreza Multidimensional — IPM (%)</t>
  </si>
  <si>
    <t>Porcentaje (%) — Población en situación de pobreza multidimensional (educación, salud, trabajo, vivienda y servicios). NEGATIVO: menor valor = mejor. (Dato de Norte de Santander — DANE no publica IPM a nivel ciudad)</t>
  </si>
  <si>
    <t>El IPM mide privaciones simultáneas en educación, salud, trabajo y vivienda. Una Smart City genuina reduce la pobreza multidimensional, no solo mejora su infraestructura tecnológica. Es el indicador más completo del bienestar real de la población.</t>
  </si>
  <si>
    <t>https://www.laopinion.co/economia/crece-el-numero-de-personas-en-pobreza-multidimensional-en-norte-de-santander</t>
  </si>
  <si>
    <t>PUNTAJE PROMEDIO DE LA DIMENSIÓN</t>
  </si>
  <si>
    <t>INDICADORES DE COHESIÓN SOCIAL</t>
  </si>
  <si>
    <t>Coeficiente de Gini</t>
  </si>
  <si>
    <t>Escala 0-1 — Mide la desigualdad en la distribución del ingreso. NEGATIVO: (0=perfecta igualdad / 1=máxima desigualdad)</t>
  </si>
  <si>
    <t>La desigualdad extrema fragmenta el tejido social y crea dos ciudades dentro de una. Una Smart City necesita distribución equitativa del ingreso para que sus beneficios lleguen a todos los ciudadanos, no solo a los más pudientes.</t>
  </si>
  <si>
    <t>https://www.dane.gov.co/files/operaciones/PM/bol-PM-2024.pdf</t>
  </si>
  <si>
    <t>Tasa de informalidad laboral (%)</t>
  </si>
  <si>
    <t>Porcentaje (%) — Trabajadores sin contrato formal ni seguridad social. NEGATIVO: menor valor = mejor.</t>
  </si>
  <si>
    <t>La informalidad laboral impide la recaudación fiscal, limita la inversión en infraestructura urbana y excluye a los trabajadores de la seguridad social. Una ciudad inteligente formaliza su economía para financiar su propio desarrollo.</t>
  </si>
  <si>
    <t>https://www.elcolombiano.com/negocios/informalidad-laboral-colombia-55-por-ciento-2026-JH35456708</t>
  </si>
  <si>
    <t>2026</t>
  </si>
  <si>
    <t>Tasa de desempleo (%)</t>
  </si>
  <si>
    <t>Porcentaje (%) — Población económicamente activa que está desocupada. NEGATIVO: menor valor = mejor.</t>
  </si>
  <si>
    <t>El desempleo estructural indica que la ciudad no genera suficiente valor económico para absorber su fuerza laboral. Una Smart City atrae inversión, fomenta el emprendimiento digital y reduce la dependencia del sector informal.</t>
  </si>
  <si>
    <t>https://colaboracion.dnp.gov.co/CDT/Estudios%20Econmicos/6%20Informe%20C%C3%BAcuta%202024%20V.2.pdf</t>
  </si>
  <si>
    <t>Tasa de empleo femenino (%)</t>
  </si>
  <si>
    <t>Porcentaje (%) — Tasa de ocupación de mujeres en edad laboral. Fórmula: 176.489 mujeres ocupadas / 407.000 mujeres PET × 100 = 43.4%.</t>
  </si>
  <si>
    <t>La equidad de género en el mercado laboral es un indicador de justicia social. Las ciudades inteligentes aprovechan el 100% de su capital humano — excluir a las mujeres del trabajo formal es un desperdicio de talento y un freno al desarrollo.</t>
  </si>
  <si>
    <t>https://cucuta.gov.co/wp-content/uploads/2026/03/Analisis-del-mercado-laboral-femenino-en-Cucuta-y-su-area-metropolitana-1.pdf</t>
  </si>
  <si>
    <t>Tasa de homicidios (por 100k hab)</t>
  </si>
  <si>
    <t>Número de homicidios por cada 100.000 habitantes. NEGATIVO: menor valor = mejor. Fórmula referencial: 303 homicidios / 1.008.000 hab × 100.000 = 30.06 (valor modelo usa tasa 2023: 33.8)</t>
  </si>
  <si>
    <t>La violencia homicida destruye el capital social, ahuyenta la inversión y paraliza la vida urbana. Ninguna ciudad puede ser inteligente si sus ciudadanos no pueden circular con seguridad. Es el indicador más crítico de cohesión social.</t>
  </si>
  <si>
    <t>https://ligacontraelsilencio.com/2024/08/29/cucuta-vive-bajo-el-terror-de-al-menos-20-grupos-criminales/</t>
  </si>
  <si>
    <t>Violencia intrafamiliar (por 100k hab)</t>
  </si>
  <si>
    <t>Casos de violencia doméstica por cada 100.000 habitantes. NEGATIVO: menor valor = mejor.</t>
  </si>
  <si>
    <t>La violencia intrafamiliar destruye la unidad básica de la sociedad. Impacta la salud mental, el rendimiento escolar y la productividad laboral. Una ciudad inteligente protege a sus ciudadanos más vulnerables dentro de sus propias casas.</t>
  </si>
  <si>
    <t>Tasa de suicidios (por 100k hab)</t>
  </si>
  <si>
    <t>Número de muertes por suicidio por cada 100.000 habitantes. NEGATIVO: menor valor = mejor. Fórmula: 51 casos / 1.008.000 hab × 100.000 = 5.06</t>
  </si>
  <si>
    <t>La tasa de suicidios es el termómetro del bienestar mental colectivo. Una Smart City invierte en salud mental y redes de apoyo porque entiende que el capital humano emocionalmente sano es su activo más valioso.</t>
  </si>
  <si>
    <t>https://www.medicinalegal.gov.co/documents/20143/1124000/Forensis_2023.pdf</t>
  </si>
  <si>
    <t>Tasa de mortalidad general (por 1.000 hab)</t>
  </si>
  <si>
    <t>Número de defunciones por cada 1.000 habitantes. NEGATIVO: menor valor = mejor.</t>
  </si>
  <si>
    <t>La mortalidad general refleja el estado integral de salud pública y condiciones de vida. Una ciudad inteligente reduce su mortalidad mediante prevención, digitalización de la salud y mejora de condiciones urbanas.</t>
  </si>
  <si>
    <t>https://cucutacomovamos.com/wp-content/uploads/2022/02/INDICADORES-TECNICOS-2021.pdf</t>
  </si>
  <si>
    <t>2020</t>
  </si>
  <si>
    <t>Muertes de menores de 1 año por cada 1.000 nacidos vivos. NEGATIVO: menor valor = mejor. (Dato nacional Colombia — DANE no publica desagregación a nivel ciudad)</t>
  </si>
  <si>
    <t>La mortalidad infantil mide si la ciudad protege a sus ciudadanos más vulnerables desde el primer día de vida. Es el indicador de bienestar social más reconocido internacionalmente (ISO 37122) para evaluar la calidad de vida urbana.</t>
  </si>
  <si>
    <t>https://www.asivamosensalud.org/indicadores/poblaciones-vulnerables/tasa-de-mortalidad-infantil-georeferenciado</t>
  </si>
  <si>
    <t>IPS públicas habilitadas con estándares de calidad (%)</t>
  </si>
  <si>
    <t>Porcentaje (%) — IPS de la red pública certificadas con estándares del Sistema Único de Habilitación. Fórmula: 13 IPS certificadas / 37 IPS totales × 100 = 35.1%</t>
  </si>
  <si>
    <t>La calidad certificada del sistema de salud determina si los ciudadanos reciben atención segura. Una Smart City garantiza estándares mínimos en sus instalaciones de salud — sin esto, la tecnología médica no tiene dónde implementarse.</t>
  </si>
  <si>
    <t>https://www.imsalud.gov.co/web/sala-de-prensa/ultimas-noticias/imsalud-certifica-en-habilitacion-a-13-ips-de-su-red-un-avance-significativo-en-salud-para-cucuta-y-la-region-fronteriza/</t>
  </si>
  <si>
    <t>Cobertura 4G/5G en área urbana (%)</t>
  </si>
  <si>
    <t>Porcentaje (%) — Área urbana con cobertura 4G o superior activa (incluye 4G, 4G+ y 5G). Verificable en mapa de cobertura nPerf.</t>
  </si>
  <si>
    <t>La cobertura móvil de alta velocidad es la infraestructura base de cualquier Smart City. Sin 4G/5G no hay IoT, no hay gobierno digital móvil, no hay aplicaciones ciudadanas. Cúcuta alcanzó cobertura total urbana y además tiene 5G activo.</t>
  </si>
  <si>
    <t>https://www.nperf.com/es/map/CO/3685533.Cucuta/7239.Movistar-Movil/signal?ll=7.89415921665735&amp;lg=-72.50392913818361&amp;zoom=13</t>
  </si>
  <si>
    <t>Pobreza monetaria (%)</t>
  </si>
  <si>
    <t>Porcentaje (%) — Población que vive con ingresos por debajo de la línea de pobreza monetaria. NEGATIVO: menor valor = mejor.</t>
  </si>
  <si>
    <t>La pobreza monetaria determina quién puede beneficiarse de una ciudad inteligente. Si el 37.7% no cubre necesidades básicas, las inversiones en tecnología urbana no les llegan. Reducir la pobreza es la condición más fundamental para una Smart City inclusiva.</t>
  </si>
  <si>
    <t>Tasa de desempleo juvenil (%)</t>
  </si>
  <si>
    <t>Porcentaje (%) — Jóvenes de 14 a 28 años desempleados sobre PEA juvenil. NEGATIVO: menor valor = mejor.</t>
  </si>
  <si>
    <t>El desempleo juvenil es el indicador más crítico del futuro de una ciudad. Si sus jóvenes no encuentran trabajo formal, emigran o caen en la informalidad. Una Smart City retiene su talento joven creando ecosistemas de emprendimiento e innovación digital.</t>
  </si>
  <si>
    <t>anex-GEIHMLJ-dic2025-feb2026.xlsx</t>
  </si>
  <si>
    <t>INDICADORES DE ECONOMÍA</t>
  </si>
  <si>
    <t>Justificación del indicador para Smart City</t>
  </si>
  <si>
    <t>Valor Agregado municipal/local (millones USD)</t>
  </si>
  <si>
    <t>Millones de USD — Valor Agregado Bruto (VAB) municipal a precios corrientes. El DANE (Departamento Administrativo Nacional de Estadística) publica el Valor Agregado (equivalente al PIB sin impuestos netos sobre productos) a nivel municipal. Fórmula: $13.064.335 millones COP / TRM (Tasa de Representación del Mercado) promedio 2023 ($4.325) = ~$3.021M USD. Dato: 2023p (preliminar). POSITIVO: mayor valor = mejor.</t>
  </si>
  <si>
    <t>El Valor Agregado municipal es el termómetro económico de la ciudad. Una Smart City necesita una economía sólida y en crecimiento para financiar su transformación digital. Sin base económica no hay inversión en infraestructura inteligente, innovación ni servicios digitales para los ciudadanos. Este indicador permite comparar el peso económico de Cúcuta frente a otras ciudades fronterizas de LATAM (América Latina y el Caribe).</t>
  </si>
  <si>
    <t>https://www.dane.gov.co/index.php/estadisticas-por-tema/cuentas-nacionales/cuentas-nacionales-departamentales</t>
  </si>
  <si>
    <t>2023p</t>
  </si>
  <si>
    <t>Tasa de crecimiento económico (%)</t>
  </si>
  <si>
    <t>Porcentaje (%) — Tasa de crecimiento promedio anual del PIB (Producto Interno Bruto) municipal. Fuente: Alcaldía de Cúcuta — Análisis PIB Municipal (DANE). Promedio del período 2015-2021. POSITIVO: mayor valor = mejor.</t>
  </si>
  <si>
    <t>La tasa de crecimiento económico muestra si la ciudad está avanzando o estancada. Una Smart City combina crecimiento económico con innovación y sostenibilidad. El 6.3% de Cúcuta supera el promedio nacional colombiano (~3%), lo que refleja el dinamismo de la economía fronteriza — especialmente tras la reapertura de la frontera con Venezuela en 2022.</t>
  </si>
  <si>
    <t>https://cucuta.gov.co/wp-content/uploads/2023/12/PIB-municipal.pdf</t>
  </si>
  <si>
    <t>2015-2021</t>
  </si>
  <si>
    <t>Ingreso laboral promedio mensual (USD)</t>
  </si>
  <si>
    <t>USD por mes — ILP (Ingreso Laboral Promedio) mensual de los ocupados en Cúcuta A.M. (Área Metropolitana). Fuente: DNP (Departamento Nacional de Planeación) — Informe Mercado Laboral Urbano IV-2024. Cúcuta tiene el ILP más bajo de las 13 principales áreas metropolitanas de Colombia. Valor calculado: ~$340 USD/mes (~$1.419.000 COP / TRM $4.200). POSITIVO: mayor valor = mejor.</t>
  </si>
  <si>
    <t>El ILP (Ingreso Laboral Promedio) mide la capacidad adquisitiva real de los ciudadanos. Una ciudad inteligente no solo genera empleo — genera empleo de calidad y bien remunerado. El bajo ILP de Cúcuta refleja el impacto de la alta informalidad (62.8%) y la presión migratoria venezolana sobre el mercado laboral. Mejorar este indicador requiere políticas de formalización y desarrollo de sectores de alto valor agregado.</t>
  </si>
  <si>
    <t>https://colaboracion.dnp.gov.co/CDT/Estudios%20Econmicos/6%20Informe%20C%C3%BAcuta%202024%20IV.pdf</t>
  </si>
  <si>
    <t>Días para crear una empresa</t>
  </si>
  <si>
    <t>Número de días — Tiempo promedio para constituir legalmente una empresa en Colombia. Fuente: MinCIT (Ministerio de Comercio, Industria y Turismo) / Banco Mundial — Doing Business. Colombia ocupa el puesto 96 entre 190 países con 11 días para abrir empresa. NEGATIVO: menor valor = mejor.</t>
  </si>
  <si>
    <t>El tiempo para crear una empresa mide la agilidad del entorno regulatorio para el emprendimiento. Una Smart City simplifica trámites mediante ventanillas únicas digitales y formularios en línea. 11 días es un avance frente al promedio regional latinoamericano, pero ciudades líderes como Singapur lo hacen en menos de 1 día. Este indicador es directamente comparable entre todas las ciudades del mundo con metodología Banco Mundial.</t>
  </si>
  <si>
    <t>https://www.mincit.gov.co/servicio-ciudadano/preguntas-frecuentes/mipymes/cual-es-el-tiempo-de-apertura-de-una-empresa-en-co</t>
  </si>
  <si>
    <t>Exportaciones totales (millones USD)</t>
  </si>
  <si>
    <t>Millones de USD por año — Valor total de exportaciones no minero-energéticas del departamento Norte de Santander. Fuente: MinCIT (Ministerio de Comercio, Industria y Turismo) / DIAN (Dirección de Impuestos y Aduanas Nacionales). Primer semestre 2023: $45M USD × 2 = ~$90M USD anualizados. Nota: dato departamental — Cúcuta concentra la mayoría de las exportaciones de Norte de Santander. POSITIVO: mayor valor = mejor.</t>
  </si>
  <si>
    <t>Las exportaciones miden la competitividad real de la economía local en los mercados internacionales. Una Smart City desarrolla plataformas de comercio exterior digital, inteligencia de mercados y zonas económicas especiales para atraer inversión. Cúcuta tiene ventaja geográfica única como ciudad fronteriza con potencial exportador hacia Venezuela, pero depende de la estabilidad política binacional.</t>
  </si>
  <si>
    <t>https://www.semana.com/mejor-colombia/articulo/norte-de-santander-renaciendo-economicamente-tras-la-reapertura-de-la-frontera-y-la-pandemia/202300/</t>
  </si>
  <si>
    <t>Empresas nuevas registradas (matrícula anual)</t>
  </si>
  <si>
    <t>Número de empresas — Total de empresas matriculadas por primera vez en el año ante la CCC (Cámara de Comercio de Cúcuta). Fuente: CCC / Confecámaras — La República. Incluye todos los sectores y tamaños. POSITIVO: mayor valor = mejor.</t>
  </si>
  <si>
    <t>Las nuevas matrículas empresariales miden la vitalidad emprendedora del ecosistema local. Una Smart City fomenta el emprendimiento con incubadoras digitales, acceso a financiamiento y trámites 100% en línea. Más de 8.000 nuevas empresas en 2023 es una señal positiva, aunque la alta informalidad sugiere que muchas operan fuera del sistema formal. La formalización progresiva es un eje clave de la agenda Smart City.</t>
  </si>
  <si>
    <t>https://www.larepublica.co/especiales/las-mas-vendedoras-del-norte-de-santander/se-crearon-mas-de-8-000-empresas-en-el-ultimo-ano-3985803</t>
  </si>
  <si>
    <t>INDICADORES DE GOBERNANZA</t>
  </si>
  <si>
    <t>Índice de Madurez de Ciudad Inteligente (escala 0-5 normalizada)</t>
  </si>
  <si>
    <t>Escala 0-5 — Modelo de Madurez de Ciudades y Territorios Inteligentes del MinTIC. Evalúa calidad de vida, hábitat, medio ambiente, economía, gobernanza y personas. (0=sin madurez / 5=máxima madurez)</t>
  </si>
  <si>
    <t>El índice MMCTI mide qué tan avanzada está la ciudad en su transformación inteligente. Una ciudad que no se mide no puede mejorar — este indicador es el termómetro global de la estrategia Smart City y permite priorizar inversiones en las dimensiones más rezagadas.</t>
  </si>
  <si>
    <t>https://cucuta.gov.co/cucuta-subio-0-5-puntos-en-el-indice-de-madurez-de-ciudades-y-territorios-inteligentes-2/</t>
  </si>
  <si>
    <t>Datasets de datos abiertos publicados</t>
  </si>
  <si>
    <t>Número de conjuntos de datos públicos disponibles en el Portal Nacional de Datos Abiertos (datos.gov.co) relacionados con Cúcuta. (0=ningún dato / mayor número=mayor transparencia)</t>
  </si>
  <si>
    <t>Los datos abiertos son el combustible de la innovación urbana. Sin datos públicos, los ciudadanos no pueden auditar al gobierno, los empresarios no pueden crear servicios digitales, y los investigadores no pueden resolver problemas urbanos. Una Smart City es una ciudad que abre sus datos.</t>
  </si>
  <si>
    <t>https://www.datos.gov.co</t>
  </si>
  <si>
    <t>Cámaras de videovigilancia operativas</t>
  </si>
  <si>
    <t>Número de cámaras CCTV del sistema de vigilancia urbana activas. Cúcuta cuenta con 311 cámaras fijas y PTZ distribuidas en 322 puntos en las 10 comunas. El 96% están en funcionamiento.</t>
  </si>
  <si>
    <t>La videovigilancia inteligente es la columna vertebral de la seguridad urbana. Permite la captura de delincuentes, el monitoreo en tiempo real y la reducción de la criminalidad. Una Smart City amplía y moderniza su red de cámaras con IA para anticipar, no solo reaccionar.</t>
  </si>
  <si>
    <t>https://cucuta.gov.co/camaras-de-seguridad-han-ayudado-a-reducirlos-delitos-en-cucuta-en-el-2022/</t>
  </si>
  <si>
    <t>Inversión en tecnología y seguridad urbana (millones COP)</t>
  </si>
  <si>
    <t>Inversión aprobada para modernización del sistema de videovigilancia urbana con inteligencia artificial — 2.000+ cámaras, centro de monitoreo y observatorio de seguridad.</t>
  </si>
  <si>
    <t>La inversión en tecnología de seguridad refleja la voluntad política de transformar la ciudad. Una Smart City no solo habla de innovación — la financia. Este indicador mide si la ciudad está respaldando su estrategia inteligente con recursos reales.</t>
  </si>
  <si>
    <t>https://metropolitano.com.co/cucuta-instalara-2-000-camaras-con-inteligencia-artificial/</t>
  </si>
  <si>
    <t>Índice de Gobierno Digital local (0-100)</t>
  </si>
  <si>
    <t>Puntaje (0-100) del Índice de Gobierno Digital del MinTIC, que mide la implementación de la Política de Gobierno Digital en servicios ciudadanos, innovación pública, cultura digital, arquitectura empresarial y seguridad.</t>
  </si>
  <si>
    <t>El IGD mide si el gobierno local está realmente digitalizando sus servicios o solo simulando hacerlo. Un puntaje alto significa que los ciudadanos pueden hacer trámites en línea, que los datos fluyen entre entidades y que el gobierno toma decisiones basadas en datos — todo esencial para una Smart City.</t>
  </si>
  <si>
    <t>https://www.datos.gov.co/Ciencia-Tecnolog-a-e-Innovaci-n/-ndice-de-Gobierno-Digital-Hist-rico/rtai-k9uh</t>
  </si>
  <si>
    <t>Presupuesto municipal per cápita (USD)</t>
  </si>
  <si>
    <t>Presupuesto total aprobado de la Alcaldía de Cúcuta dividido entre el total de habitantes. Fórmula: Presupuesto 2024 (~$2.09B COP / TRM $4.200 = ~$497M USD) / 800.000 hab = ~$621 USD/hab.</t>
  </si>
  <si>
    <t>El presupuesto per cápita determina cuántos recursos tiene el gobierno para invertir en cada ciudadano. Una ciudad con bajo presupuesto por habitante tiene limitaciones estructurales para financiar infraestructura inteligente, servicios digitales y programas sociales. Es el indicador de la capacidad fiscal real.</t>
  </si>
  <si>
    <t>https://www.alertasantanderes.com/norte-santander/concejo-de-cucuta-aprobo-presupuesto-de-23-billones-para-la-vigencia-2025</t>
  </si>
  <si>
    <t>Ejecución presupuestal (%)</t>
  </si>
  <si>
    <t>Porcentaje del presupuesto definitivo efectivamente pagado en la vigencia. Fórmula: Pagos ($1.503.648.832.695) / Presupuesto definitivo ($1.898.321.345.031) × 100 = 85.66%. Dato: enero-noviembre 2023.</t>
  </si>
  <si>
    <t>La ejecución presupuestal mide si la ciudad cumple lo que promete. Un gobierno que planea pero no ejecuta no puede transformarse en Smart City. Este indicador revela la capacidad operativa real de la administración para convertir recursos aprobados en obras y servicios concretos para los ciudadanos.</t>
  </si>
  <si>
    <t>https://drive.google.com/file/d/1qwMzId6nlJ2M4xQ9W9q9Vtd2sz6palrP/view</t>
  </si>
  <si>
    <t>INDICADORES DE MEDIO AMBIENTE</t>
  </si>
  <si>
    <t>Arbolado urbano con problemas fitosanitarios (%)</t>
  </si>
  <si>
    <t>Porcentaje de árboles del bosque urbano con condiciones fitosanitarias deficientes (pudrición, comején, malas podas, cáncer vegetal). NEGATIVO: menor valor = mejor. Acción de mejora: durante el cuatrienio 2020-2023 se sembraron 114.000 especies nativas. Fuente: Alcaldía de San José de Cúcuta — Plan de Desarrollo Municipal (PDM) 2024-2027.</t>
  </si>
  <si>
    <t>El estado fitosanitario del arbolado urbano refleja la calidad del ecosistema verde de la ciudad. Una ciudad inteligente monitorea y gestiona su bosque urbano con tecnología SIG (Sistema de Información Geográfica) y sensores IoT, como ya lo hace Cúcuta con ArcGIS. Sin árboles sanos no hay regulación del clima urbano, captura de CO₂ ni calidad de vida.</t>
  </si>
  <si>
    <t>https://cucuta.gov.co/wp-content/uploads/2024/06/Plan-de-Desarrollo-Municipal-Cucuta-perseverante-segura-y-productiva-2024-2027.pdf</t>
  </si>
  <si>
    <t>Índice de Calidad del Aire — AQI (promedio anual)</t>
  </si>
  <si>
    <t>AQI ( Índice de Calidad del Aire): escala 0-500 donde 0-50=Bueno / 51-100=Moderado / 101-150=Pobre para grupos sensibles. Promedio anual 2025 basado en mediciones continuas. NEGATIVO: menor valor = mejor.</t>
  </si>
  <si>
    <t>El AQI (Índice de Calidad del Aire) mide en tiempo real la salud del aire que respiran los ciudadanos. Una Smart City integra sensores de calidad del aire en su plataforma de datos urbanos para tomar decisiones sobre movilidad, industria y salud pública. Cúcuta tiene alta vulnerabilidad por su geografía de cuenca cerrada que acumula contaminantes.</t>
  </si>
  <si>
    <t>https://www.aqi.in/es/world-most-polluted-cities</t>
  </si>
  <si>
    <t>Tratamiento de aguas residuales (%)</t>
  </si>
  <si>
    <t>Porcentaje de aguas residuales domésticas e industriales que reciben tratamiento antes de ser vertidas. Cúcuta actualmente no cuenta con PTAR (Planta de Tratamiento de Aguas Residuales) en operación. Sin embargo, se encuentran en estructuración 3 plantas cuya licitación supera los USD 2.000 millones. NEGATIVO: menor valor = peor.</t>
  </si>
  <si>
    <t>El tratamiento de aguas residuales es un indicador crítico de sostenibilidad urbana. Una Smart City gestiona su ciclo del agua completo: captación, distribución, uso y tratamiento. La ausencia de PTAR en Cúcuta representa un riesgo ambiental severo para el río Pamplonita. La implementación de plantas inteligentes con sensores en tiempo real es parte esencial de la agenda de ciudad inteligente.</t>
  </si>
  <si>
    <t>https://dertransporte.uexternado.edu.co/colombia-licitara-proyectos-de-infraestructura-hidrica-por-us2-000-millones-en-cucuta-y-sta-marta/</t>
  </si>
  <si>
    <t>Gestión de residuos sólidos — % aprovechado</t>
  </si>
  <si>
    <t>Porcentaje de residuos sólidos que son efectivamente reciclados, compostados o aprovechados sobre el total generado. SSPD (Superintendencia de Servicios Públicos Domiciliarios) — Informe AAA (Acueducto, Alcantarillado y Aseo) 2023. POSITIVO: mayor valor = mejor.</t>
  </si>
  <si>
    <t>El aprovechamiento de residuos es el corazón de la economía circular urbana. Una Smart City implementa rutas de recolección inteligentes con GPS (Sistema de Posicionamiento Global), puntos de reciclaje georreferenciados y plataformas de trazabilidad de residuos. El 0% de Cúcuta contrasta con ciudades líderes que superan el 30%, lo que representa una enorme oportunidad de transformación.</t>
  </si>
  <si>
    <t>https://www.laopinion.co/cucuta/entre-residuos-y-esperanza-los-recicladores-que-sostienen-la-economia-circular-en-cucuta</t>
  </si>
  <si>
    <t>PM2.5 — material particulado fino (µg/m³ promedio anual)</t>
  </si>
  <si>
    <t>PM2.5 (Material Particulado con diámetro ≤2,5 micrómetros): partículas finas suspendidas en el aire, las más dañinas para la salud. Medido por Corponor (Corporación Autónoma Regional de la Frontera Nororiental) en 4 estaciones fijas: El Salado, Comuneros, El Centro y Atalaya. Meta OMS (Organización Mundial de la Salud): ≤5 µg/m³. NEGATIVO: menor valor = mejor.</t>
  </si>
  <si>
    <t>El PM2.5 es el contaminante atmosférico con mayor impacto en la salud pública — penetra el sistema respiratorio y cardiovascular. Una Smart City monitorea el PM2.5 en tiempo real con redes de sensores y publica los datos abiertos para que ciudadanos y autoridades tomen decisiones informadas. Cúcuta tiene 4 estaciones de la red SISAIRE (Sistema de Información sobre Calidad del Aire) operativas.</t>
  </si>
  <si>
    <t>https://corponor.gov.co/web/index.php/boletin-ambiental/calidad-del-aire/</t>
  </si>
  <si>
    <t>Residuos sólidos per cápita (kg/hab/año)</t>
  </si>
  <si>
    <t>Kilogramos de residuos sólidos generados por habitante al año. Fórmula: 266.492,75 toneladas dispuestas en 2023 (Relleno Sanitario El Guayabal, fuente SUI — Sistema Único de Información) × 1.000 / 800.000 hab = 333 kg/hab/año. NEGATIVO: menor valor = mejor.</t>
  </si>
  <si>
    <t>La generación per cápita de residuos mide la presión ambiental que ejerce cada ciudadano sobre el territorio. Una Smart City combina educación ciudadana, incentivos digitales y rutas de recolección optimizadas con IA (Inteligencia Artificial) para reducir este indicador. 333 kg/hab/año supera el promedio latinoamericano de ciudades sostenibles (200-250 kg), indicando un margen de mejora significativo.</t>
  </si>
  <si>
    <t>Estaciones de monitoreo ambiental activas</t>
  </si>
  <si>
    <t>Número de estaciones fijas de monitoreo de calidad del aire en operación continua. Corponor (Corporación Autónoma Regional de la Frontera Nororiental) opera 4 estaciones fijas urbanas en Cúcuta: El Salado, Comuneros, El Centro y Atalaya. Reportan a la red SISAIRE (Sistema de Información sobre Calidad del Aire). POSITIVO: mayor número = mejor capacidad de monitoreo.</t>
  </si>
  <si>
    <t>Las estaciones de monitoreo son los ojos ambientales de la ciudad. Sin datos en tiempo real no hay gestión ambiental inteligente. Una Smart City integra estas estaciones en un dashboard (panel de control) de ciudad en tiempo real, permite alertas automáticas a ciudadanos y conecta los datos con decisiones de movilidad y salud pública. 4 estaciones es un inicio, pero insuficiente para una ciudad de 800.000 habitantes.</t>
  </si>
  <si>
    <t>Energía solar fotovoltaica instalada (MW)</t>
  </si>
  <si>
    <t>Capacidad instalada total de generación solar fotovoltaica en el municipio en megavatios (MW). Proyectos confirmados: Termotasajero II Solar (5.2 MW, 9.600 paneles, 4 hectáreas, inaugurado enero 2023) + Sistema fotovoltaico Unicentro EPM (0.777 MW, 1.426 paneles, diciembre 2023) = 5.977 MW. Meta PDM (Plan de Desarrollo Municipal) 2024-2027: 20 MW. POSITIVO: mayor valor = mejor.</t>
  </si>
  <si>
    <t>La capacidad solar instalada mide el avance real de la transición energética local. Una Smart City diversifica su matriz con energías renovables, reduce su huella de carbono y garantiza resiliencia energética. Cúcuta tiene alta irradiación solar durante todo el año, lo que la convierte en territorio ideal para el desarrollo fotovoltaico. El proyecto PSFV (Parque Solar Fotovoltaico) Tonchalá de 19.9 MW está en registro UPME para 2026.</t>
  </si>
  <si>
    <t>https://www.semana.com/nacion/cucuta/articulo/mas-de-4000-hogares-de-norte-de-santander-se-beneficiaran-con-energias-limpias-gracias-a-proyecto-de-energia-solar/202342/ | https://www.pv-magazine-latam.com/2023/12/19/la-colombiana-epm-instala-su-mayor-sistema-fotovoltaico-en-un-centro-comercial/</t>
  </si>
  <si>
    <t>Cobertura de acueducto urbano (%)</t>
  </si>
  <si>
    <t>Porcentaje de hogares urbanos con acceso a red de acueducto y agua potable. Dato: Norte de Santander cobertura urbana 94% en 2023 (Gobernación NdS — Secretaría de Agua Potable y Saneamiento Básico). Nota: dato departamental — Cúcuta como capital concentra la mayor infraestructura urbana y se asume cobertura igual o superior al promedio departamental. ODS (Objetivo de Desarrollo Sostenible) 6: Agua limpia y saneamiento.</t>
  </si>
  <si>
    <t>La cobertura de acueducto mide el acceso equitativo al agua potable — un derecho humano fundamental y prerequisito de cualquier ciudad inteligente. Sin acceso universal al agua no puede haber Smart City. Este indicador también refleja la capacidad de la empresa de servicios públicos EIS (Empresa Industrial y de Servicios) para expandir infraestructura, y es directamente comparable con ciudades fronterizas de LATAM.</t>
  </si>
  <si>
    <t>https://administrador.nortedesantander.gov.co/wp-content/uploads/2023/11/BALANCE-DE-GESTION-2020-2023-SECRETARIA-DE-AGUA-POTABLE-Y-SANEAMIENTO-BASICO.pdf</t>
  </si>
  <si>
    <t>Cobertura de alcantarillado urbano (%)</t>
  </si>
  <si>
    <t>Porcentaje de hogares urbanos conectados a red de alcantarillado. Dato: Norte de Santander cobertura urbana 99,2% en 2023 (Gobernación NdS — Secretaría de Agua Potable y Saneamiento Básico). Nota: dato departamental — Cúcuta como capital concentra la mayor infraestructura urbana. Cobertura rural alcantarillado: 17,60%. ODS (Objetivo de Desarrollo Sostenible) 6: Agua limpia y saneamiento.</t>
  </si>
  <si>
    <t>La cobertura de alcantarillado mide la gestión del agua residual post-consumo. Una Smart City cierra el ciclo del agua: captación (acueducto), uso y retorno (alcantarillado + tratamiento). El 99.2% urbano es un resultado destacado, pero contrasta con el 0% de tratamiento de esas aguas antes de ser vertidas al río Pamplonita — lo que evidencia que tener red de alcantarillado no equivale a gestión ambiental completa.</t>
  </si>
  <si>
    <t>Hectáreas de áreas estratégicas para conservación hídrica</t>
  </si>
  <si>
    <t>Número de hectáreas adquiridas por la Alcaldía de Cúcuta para protección de cuencas hidrográficas y fuentes de agua que abastecen los acueductos municipales. PDM (Plan de Desarrollo Municipal) 2024-2027: meta de adquirir 1.600 hectáreas adicionales para llegar a 2.500 ha protegidas. Dato exclusivo de predios en Cúcuta (excluye municipios vecinos de la misma tabla). POSITIVO: mayor valor = mejor.</t>
  </si>
  <si>
    <t>La conservación de áreas estratégicas es la política ambiental más inteligente a largo plazo: sin proteger las cuencas que abastecen los acueductos, ninguna tecnología puede garantizar el agua futura de la ciudad. Una Smart City integra la gestión de estas áreas con SIG (Sistemas de Información Geográfica), monitoreo satelital y sensores de caudal para anticipar riesgos hídricos y garantizar el suministro a generaciones futuras.</t>
  </si>
  <si>
    <t>https://cucuta.gov.co/wp-content/uploads/2024/06/Plan-de-Desarrollo-Municipal-Cucuta-perseverante-segura-y-productiva-2024-2027.pdf | https://www.semana.com/nacion/cucuta/articulo/las-acciones-que-se-utilizan-en-cucuta-para-reducir-la-contaminacion-y-preservar-el-medio-ambiente/202316/</t>
  </si>
  <si>
    <t>INDICADORES DE FRONTERA</t>
  </si>
  <si>
    <t>Modelo de Ciudad Inteligente – Cúcuta, Norte de Santander  |  ↑ Positivo: mayor = mejor  |  ↓ Negativo: menor = mejor</t>
  </si>
  <si>
    <t>Comercio binacional total por aduana de la ciudad (millones USD)</t>
  </si>
  <si>
    <t>Millones de USD — Valor total del comercio bilateral Colombia-Venezuela que pasa por la aduana de Cúcuta. Cúcuta concentra el 51% del comercio binacional total según informe CCC (Cámara de Comercio de Cúcuta) / DANE / Cavecol (Cámara de Integración Económica Venezolana-Colombiana). Comercio total bilateral primer semestre 2025: USD $560,7M FOB (Free On Board). Cálculo: $560.7M × 51% = ~$286M USD. POSITIVO: mayor valor = mejor.</t>
  </si>
  <si>
    <t>El volumen de comercio binacional es el indicador más directo de la función económica de Cúcuta como ciudad fronteriza. Una Smart City gestiona el comercio fronterizo con sistemas digitales de trazabilidad, ventanillas únicas aduaneras y plataformas de comercio electrónico transfronterizo. La reapertura de la frontera en 2022 tras 7 años de cierre representó un punto de inflexión histórico — Cúcuta pasó de ser la segunda aduana (29% en 2024) a la primera (51% en 2025), consolidándose como el principal hub del comercio colombo-venezolano.</t>
  </si>
  <si>
    <t>https://cccucuta.org.co/vnoticias/221/comercio-binacional-alcanzo-us5607-millones-en-el-primer-semestre-de-2025</t>
  </si>
  <si>
    <t>Flujo migratorio fronterizo (cruces/año)</t>
  </si>
  <si>
    <t>Número total de cruces anuales registrados en los 5 PCM (Puestos de Control Migratorio) de Cúcuta. Incluye flujos bidireccionales de residentes y no residentes, colombianos y extranjeros, en tránsito pendular diario (compras, trabajo, salud, familia). Cálculo: ~60.000 cruces/día × 365 días = 21.900.000/año. La Regional Oriente de Migración Colombia concentra el 86.3% de todos los cruces fronterizos colombo-venezolanos del país. POSITIVO: mayor valor = mayor dinamismo fronterizo.</t>
  </si>
  <si>
    <t>El flujo migratorio fronterizo mide la intensidad de las relaciones humanas y económicas entre ambos países. Una Smart City gestiona este flujo con tecnología biométrica, sistemas de identificación digital y plataformas de atención al migrante en línea. Cúcuta es el principal punto de cruce terrestre de Venezuela hacia Suramérica — gestionar este flujo inteligentemente es esencial para la cohesión social, la seguridad urbana y la economía fronteriza.</t>
  </si>
  <si>
    <t>https://www.eltiempo.com/politica/gobierno/migracion-colombia-da-parte-de-tranquilidad-por-el-flujo-migratorio-en-la-frontera-con-venezuela-hacemos-monitoreo-tres-veces-al-dia-3522180</t>
  </si>
  <si>
    <t>Migrantes con vocación de permanencia en la ciudad</t>
  </si>
  <si>
    <t>Número de personas extranjeras con intención declarada de establecerse permanentemente en la ciudad de Cúcuta. El 64.92% de los 328.820 venezolanos en Norte de Santander se concentran en Cúcuta = 213.487 personas. POSITIVO: mayor valor = mayor dinamismo migratorio, pero también mayor presión sobre servicios urbanos.</t>
  </si>
  <si>
    <t>Los migrantes con vocación de permanencia representan la población que la ciudad debe integrar económica y socialmente a largo plazo. Una Smart City diseña servicios públicos digitales accesibles para todos los residentes independientemente de su estatus migratorio — aplicaciones de salud en línea, registro escolar digital y geolocalización de puntos de atención. Cúcuta alberga la mayor concentración de migrantes venezolanos del país después de Bogotá y Medellín.</t>
  </si>
  <si>
    <t>https://www.r4v.info/sites/g/files/tmzbdl2426/files/2024-11/Factsheet%20R&amp;M%20NdeS%202024%20(ene-sept)_0.pdf</t>
  </si>
  <si>
    <t>Exportaciones por aduana de la ciudad (miles USD/FOB)</t>
  </si>
  <si>
    <t>Miles de USD FOB (Free On Board) exportados a través de la aduana de Cúcuta enero-diciembre 2025. Variación: +22.7% frente a 2024 ($327.862 miles). Principal destino: Venezuela (19.4%), Brasil (11.4%) y Bélgica (8.1%). Medio de transporte: marítimo (79.9%), terrestre (19.7%), aéreo (0.4%). Fuente: DANE / LEGISCOMEX — Observatorio Económico CCC (Cámara de Comercio de Cúcuta). POSITIVO: mayor valor = mejor.</t>
  </si>
  <si>
    <t>Las exportaciones por aduana Cúcuta miden la capacidad de la ciudad de colocar productos en mercados internacionales. Una Smart City desarrolla plataformas de inteligencia comercial, ventanillas únicas de comercio exterior digitales y programas de internacionalización empresarial. El crecimiento del 22.7% en 2025 refleja la consolidación de Cúcuta como hub exportador de la frontera colombo-venezolana y su diversificación hacia mercados de Europa y Asia.</t>
  </si>
  <si>
    <t>https://datacucuta.com/indicadores-regionales/comercio-exterior/exportaciones/exportaciones-diciembre-2025/</t>
  </si>
  <si>
    <t>Importaciones por aduana de la ciudad (miles USD/CIF)</t>
  </si>
  <si>
    <t>Miles de USD CIF (Cost, Insurance and Freight) importados a través de la aduana de Cúcuta enero-diciembre 2025. Variación: -37% frente a 2024 ($123.813 miles). Principales países de origen: Estados Unidos (42.4%), China (33.2%) y Venezuela (3.7%). Principales productos: combustibles minerales (21.1%), materias plásticas (10.8%) y cereales (8.1%). Fuente: DANE / LEGISCOMEX — Observatorio Económico CCC. POSITIVO: mayor valor = mayor dinamismo comercial entrante.</t>
  </si>
  <si>
    <t>Las importaciones miden el flujo de bienes y servicios que entran a la ciudad desde el exterior. Una Smart City optimiza sus procesos aduaneros con plataformas digitales que reducen tiempos de nacionalización y facilita el comercio a las MIPYME (Micro, Pequeñas y Medianas Empresas) locales. La caída del 37% refleja la volatilidad comercial de la frontera colombo-venezolana.</t>
  </si>
  <si>
    <t>https://datacucuta.com/indicadores-regionales/comercio-exterior/importaciones/importaciones-diciembre-2025/</t>
  </si>
  <si>
    <t>Pasos fronterizos internacionales activos en la ciudad y su área metropolitana</t>
  </si>
  <si>
    <t>Número de puentes internacionales activos que conectan a Cúcuta y su área metropolitana con Venezuela. Los 3 puentes son: (1) Francisco de Paula Santander — conecta Cúcuta con Ureña, principal paso de importaciones; (2) Atanasio Girardot (Tienditas) — 6 carriles, 280 metros, exclusivo vehículos de carga, el más moderno de LATAM; (3) Simón Bolívar — conecta Villa del Rosario/Cúcuta A.M. con San Antonio, principal paso de exportaciones. La Cámara Colombo Venezolana los referencia oficialmente como los puentes de San José de Cúcuta. POSITIVO: mayor valor = mejor.</t>
  </si>
  <si>
    <t>Los puentes internacionales son la infraestructura física que hace posible la Smart City fronteriza. Sin conectividad física no hay flujo comercial, migratorio ni cultural. Una Smart City moderniza sus pasos fronterizos con tecnología de reconocimiento facial, sistemas de aforo inteligente, CEBAF (Centro Binacional de Atención en Frontera) y CENAF (Centro Nacional de Fronteras) digitalizados. Los 3 puentes activos representan el máximo histórico de apertura fronteriza entre Colombia y Venezuela.</t>
  </si>
  <si>
    <t>https://comvenezuela.com/camara-colombo-venezolana-destaca-incremento-del-intercambio-comercial-bilateral-facilitado-por-la-reapertura-de-puentes-internacionales/</t>
  </si>
  <si>
    <t>Vehículos de carga por pasos fronterizos (promedio mensual)</t>
  </si>
  <si>
    <t>Número promedio mensual de vehículos de carga que transitan por los 3 puentes internacionales de Cúcuta y su área metropolitana. Dato: promedio enero-abril 2024 = 1.108 vehículos/mes, representando un incremento del 55% frente al mismo período de 2023 (717 vehículos/mes). Fuente: MinCIT (Ministerio de Comercio, Industria y Turismo) / Cámara Colombo Venezolana. POSITIVO: mayor valor = mejor.</t>
  </si>
  <si>
    <t>El flujo de vehículos de carga mide la intensidad del comercio físico a través de la frontera. Una Smart City implementa sistemas de gestión inteligente del tráfico de carga, plataformas de pre-declaración aduanera digital y carriles expresos para vehículos con documentación completa. El +55% de crecimiento en 2024 refleja la reactivación del corredor logístico Cúcuta-Táchira como el más importante de la frontera colombo-venezolana.</t>
  </si>
  <si>
    <t>Puestos de Control Migratorio activos en la ciudad</t>
  </si>
  <si>
    <t>Número de PCM (Puestos de Control Migratorio) de Migración Colombia activos específicamente en Cúcuta ciudad: (1) PCMT La Unidad — Puente Atanasio Girardot; (2) PCMA Camilo Daza — Aeropuerto Internacional. Los otros 3 PCM de Norte de Santander (Simón Bolívar/Villa del Rosario, Francisco de Paula Santander, Puerto Santander) no están dentro del perímetro urbano de Cúcuta. POSITIVO: mayor valor = mejor control y servicio migratorio.</t>
  </si>
  <si>
    <t>Los PCM son los puntos de control y servicio migratorio donde se registran formalmente los flujos de personas. Una Smart City fronteriza integra sus PCM en un sistema biométrico unificado con reconocimiento facial, interoperabilidad con bases de datos de seguridad de ambos países y expedición digital de documentos. Con 2 PCM propios, Cúcuta tiene capacidad de control formal en su territorio.</t>
  </si>
  <si>
    <t>https://www.migracioncolombia.gov.co/especiales-digitales/flujos-migratorios-pendulares-y-regulares-en-la-frontera</t>
  </si>
  <si>
    <t>Extranjeros del país vecino no residentes que ingresan a la ciudad (año)</t>
  </si>
  <si>
    <t>Número de ciudadanos venezolanos no residentes que ingresaron formalmente a Cúcuta en 2025 con registro migratorio. Mide exclusivamente el flujo Venezuela→Cúcuta de personas que visitan la ciudad sin residir permanentemente — comerciantes, visitantes y personas en tránsito con registro formal. Fuente: Migración Colombia — dataset "Extranjeros No Residentes" en datos.gov.co. POSITIVO: mayor valor = mayor dinamismo fronterizo formal.</t>
  </si>
  <si>
    <t>Los venezolanos no residentes que visitan Cúcuta formalmente representan el comercio y los lazos familiares activos entre ambos países. Una Smart City facilita este flujo con trámites digitales, visas electrónicas y puntos de atención biométrica que reducen tiempos de espera. Este indicador mide específicamente la dirección Venezuela→Cúcuta del intercambio humano formal — esencial para entender la dimensión real de la frontera como espacio de integración binacional.</t>
  </si>
  <si>
    <t>https://www.datos.gov.co/Estad-sticas-Nacionales/Extranjeros-No-Residentes/s7st-tyxk</t>
  </si>
  <si>
    <t>Balanza comercial binacional por aduana de la ciudad (miles USD)</t>
  </si>
  <si>
    <t>Miles de USD — Diferencia entre exportaciones e importaciones por la aduana de Cúcuta. Fórmula: Exportaciones (402.252 miles USD/FOB 2025) − Importaciones (77.950 miles USD/CIF 2025) = 324.302 miles USD. Superávit comercial a favor de Cúcuta. Fuente: DANE / LEGISCOMEX — Observatorio Económico CCC (Cámara de Comercio de Cúcuta). POSITIVO: mayor superávit = mejor posición comercial.</t>
  </si>
  <si>
    <t>La balanza comercial mide la posición neta de la ciudad en el intercambio con Venezuela — si exporta más de lo que importa, genera riqueza para la economía local. Una Smart City fronteriza monitorea su balanza en tiempo real con dashboards (paneles de control) conectados a los sistemas de la DIAN (Dirección de Impuestos y Aduanas Nacionales) y la CCC, permitiendo decisiones de política comercial basadas en datos. El superávit de $324M refleja la competitividad exportadora de Cúcuta frente al mercado venezolano.</t>
  </si>
  <si>
    <t>https://datacucuta.com/indicadores-regionales/comercio-exterior/exportaciones/exportaciones-diciembre-2025/ | https://datacucuta.com/indicadores-regionales/comercio-exterior/importaciones/importaciones-diciembre-2025/</t>
  </si>
  <si>
    <t>RESUMEN DE PUNTAJES – ÍNDICE CIUDAD INTELIGENTE CÚCUTA</t>
  </si>
  <si>
    <t>Los puntajes se calculan automáticamente. Ingrese los Valores Reales en cada hoja de dimensión (celdas amarillas).</t>
  </si>
  <si>
    <t>Puntaje (0-10)</t>
  </si>
  <si>
    <t>Puntaje Ponderado</t>
  </si>
  <si>
    <t>Capital humano</t>
  </si>
  <si>
    <t>ÍNDICE COMPUESTO FINAL</t>
  </si>
  <si>
    <t>Escala de interpretación del Índice Compuesto Final</t>
  </si>
  <si>
    <t>0.0 – 3.9</t>
  </si>
  <si>
    <t>Bajo</t>
  </si>
  <si>
    <t>Ciudad con desafíos críticos en múltiples dimensiones.</t>
  </si>
  <si>
    <t>4.0 – 5.9</t>
  </si>
  <si>
    <t>Medio-Bajo</t>
  </si>
  <si>
    <t>Avances parciales; requiere mejoras sustanciales.</t>
  </si>
  <si>
    <t>6.0 – 7.4</t>
  </si>
  <si>
    <t>Medio</t>
  </si>
  <si>
    <t>Ciudad en desarrollo con fortalezas sectoriales.</t>
  </si>
  <si>
    <t>7.5 – 8.9</t>
  </si>
  <si>
    <t>Alto</t>
  </si>
  <si>
    <t>Ciudad inteligente consolidada con buenas prácticas.</t>
  </si>
  <si>
    <t>9.0 – 10.0</t>
  </si>
  <si>
    <t>Muy Alto</t>
  </si>
  <si>
    <t>Ciudad de referencia global en inteligencia urbana.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</si>
</sst>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Calibri"/>
      <family val="2"/>
      <charset val="1"/>
    </font>
    <font>
      <b/>
      <sz val="20"/>
      <color rgb="FFFFFFFF"/>
      <name val="Arial"/>
      <family val="2"/>
    </font>
    <font>
      <b/>
      <sz val="14"/>
      <color rgb="FFFFFFFF"/>
      <name val="Arial"/>
      <family val="2"/>
    </font>
    <font>
      <b/>
      <sz val="11"/>
      <color rgb="FFFFFFFF"/>
      <name val="Arial"/>
      <family val="2"/>
    </font>
    <font>
      <b/>
      <sz val="11"/>
      <color theme="1" tint="0.34998626667073579"/>
      <name val="Arial"/>
      <family val="2"/>
    </font>
    <font>
      <sz val="11"/>
      <color rgb="FF595959"/>
      <name val="Arial"/>
      <family val="2"/>
    </font>
    <font>
      <b/>
      <sz val="11"/>
      <color rgb="FF595959"/>
      <name val="Arial"/>
      <family val="2"/>
    </font>
    <font>
      <b/>
      <sz val="12"/>
      <color rgb="FFFFFFFF"/>
      <name val="Arial"/>
      <family val="2"/>
    </font>
    <font>
      <sz val="10"/>
      <color rgb="FF595959"/>
      <name val="Arial"/>
      <family val="2"/>
    </font>
    <font>
      <b/>
      <sz val="11"/>
      <color rgb="FFFFFFFF"/>
      <name val="Arial"/>
      <family val="2"/>
    </font>
    <font>
      <sz val="9"/>
      <color rgb="FF595959"/>
      <name val="Arial"/>
      <family val="2"/>
    </font>
    <font>
      <b/>
      <sz val="16"/>
      <color rgb="FFFFFFFF"/>
      <name val="Arial"/>
      <family val="2"/>
    </font>
    <font>
      <b/>
      <sz val="10"/>
      <color rgb="FFFFFFFF"/>
      <name val="Arial"/>
      <family val="2"/>
    </font>
    <font>
      <b/>
      <sz val="10"/>
      <color rgb="FF595959"/>
      <name val="Arial"/>
      <family val="2"/>
    </font>
    <font>
      <b/>
      <sz val="12"/>
      <color rgb="FF0070C0"/>
      <name val="Arial"/>
      <family val="2"/>
    </font>
    <font>
      <b/>
      <sz val="13"/>
      <color rgb="FFFFFFFF"/>
      <name val="Arial"/>
      <family val="2"/>
    </font>
    <font>
      <i/>
      <sz val="9"/>
      <color rgb="FF595959"/>
      <name val="Arial"/>
      <family val="2"/>
    </font>
    <font>
      <sz val="10"/>
      <color rgb="FF595959"/>
      <name val="Arial"/>
      <family val="2"/>
    </font>
    <font>
      <b/>
      <sz val="16"/>
      <color rgb="FFFFFFFF"/>
      <name val="Arial"/>
      <family val="2"/>
    </font>
    <font>
      <b/>
      <sz val="10"/>
      <color rgb="FFFFFFFF"/>
      <name val="Arial"/>
      <family val="2"/>
    </font>
    <font>
      <b/>
      <sz val="11"/>
      <color rgb="FF2E5FA3"/>
      <name val="Arial"/>
      <family val="2"/>
    </font>
    <font>
      <b/>
      <sz val="10"/>
      <color rgb="FF595959"/>
      <name val="Arial"/>
      <family val="2"/>
    </font>
    <font>
      <i/>
      <sz val="9"/>
      <color rgb="FF444444"/>
      <name val="Arial"/>
      <family val="2"/>
    </font>
    <font>
      <b/>
      <sz val="9"/>
      <color rgb="FF375623"/>
      <name val="Arial"/>
      <family val="2"/>
    </font>
    <font>
      <b/>
      <sz val="12"/>
      <color rgb="FF0C3F5C"/>
      <name val="Arial"/>
      <family val="2"/>
    </font>
    <font>
      <sz val="10"/>
      <color rgb="FF444444"/>
      <name val="Arial"/>
      <family val="2"/>
    </font>
    <font>
      <b/>
      <sz val="12"/>
      <color rgb="FF595959"/>
      <name val="Arial"/>
      <family val="2"/>
    </font>
    <font>
      <i/>
      <sz val="8"/>
      <color rgb="FF555555"/>
      <name val="Arial"/>
      <family val="2"/>
    </font>
    <font>
      <u/>
      <sz val="8"/>
      <color rgb="FF1155CC"/>
      <name val="Arial"/>
      <family val="2"/>
    </font>
    <font>
      <b/>
      <sz val="9"/>
      <color rgb="FF7D6608"/>
      <name val="Arial"/>
      <family val="2"/>
    </font>
    <font>
      <b/>
      <sz val="9"/>
      <color rgb="FF2D6A2D"/>
      <name val="Arial"/>
      <family val="2"/>
    </font>
    <font>
      <u/>
      <sz val="11"/>
      <color theme="10"/>
      <name val="Calibri"/>
      <family val="2"/>
      <scheme val="minor"/>
    </font>
    <font>
      <b/>
      <sz val="12"/>
      <color theme="1"/>
      <name val="Arial"/>
      <family val="2"/>
    </font>
    <font>
      <sz val="8"/>
      <name val="Arial"/>
      <family val="2"/>
    </font>
    <font>
      <i/>
      <sz val="10"/>
      <color theme="1" tint="0.249977111117893"/>
      <name val="Calibri"/>
      <family val="2"/>
      <scheme val="minor"/>
    </font>
    <font>
      <sz val="11"/>
      <color theme="1" tint="0.249977111117893"/>
      <name val="Calibri"/>
      <family val="2"/>
      <scheme val="minor"/>
    </font>
    <font>
      <b/>
      <sz val="9"/>
      <color theme="5"/>
      <name val="Arial"/>
      <family val="2"/>
    </font>
    <font>
      <sz val="11"/>
      <color theme="5"/>
      <name val="Calibri"/>
      <family val="2"/>
      <scheme val="minor"/>
    </font>
    <font>
      <b/>
      <sz val="12"/>
      <name val="Arial"/>
      <family val="2"/>
    </font>
    <font>
      <u/>
      <sz val="11"/>
      <color theme="3" tint="0.39997558519241921"/>
      <name val="Calibri"/>
      <family val="2"/>
      <scheme val="minor"/>
    </font>
    <font>
      <b/>
      <sz val="9"/>
      <color rgb="FFFF0000"/>
      <name val="Arial"/>
      <family val="2"/>
    </font>
    <font>
      <b/>
      <sz val="11"/>
      <color theme="1"/>
      <name val="Calibri"/>
      <family val="2"/>
      <scheme val="minor"/>
    </font>
    <font>
      <b/>
      <sz val="9"/>
      <color theme="6" tint="-0.499984740745262"/>
      <name val="Arial"/>
      <family val="2"/>
    </font>
  </fonts>
  <fills count="37">
    <fill>
      <patternFill patternType="none"/>
    </fill>
    <fill>
      <patternFill patternType="gray125"/>
    </fill>
    <fill>
      <patternFill patternType="solid">
        <fgColor rgb="FF1F3864"/>
        <bgColor rgb="FF333333"/>
      </patternFill>
    </fill>
    <fill>
      <patternFill patternType="solid">
        <fgColor rgb="FF2E5FA3"/>
        <bgColor rgb="FF4472C4"/>
      </patternFill>
    </fill>
    <fill>
      <patternFill patternType="solid">
        <fgColor rgb="FFF2F2F2"/>
        <bgColor rgb="FFFFFFFF"/>
      </patternFill>
    </fill>
    <fill>
      <patternFill patternType="solid">
        <fgColor rgb="FFFFFFFF"/>
        <bgColor rgb="FFF2F2F2"/>
      </patternFill>
    </fill>
    <fill>
      <patternFill patternType="solid">
        <fgColor theme="0"/>
        <bgColor rgb="FFD05033"/>
      </patternFill>
    </fill>
    <fill>
      <patternFill patternType="solid">
        <fgColor rgb="FF2E5FA3"/>
      </patternFill>
    </fill>
    <fill>
      <patternFill patternType="solid">
        <fgColor rgb="FFF2F2F2"/>
      </patternFill>
    </fill>
    <fill>
      <patternFill patternType="solid">
        <fgColor rgb="FFFFFFFF"/>
      </patternFill>
    </fill>
    <fill>
      <patternFill patternType="solid">
        <fgColor rgb="FF1F3864"/>
      </patternFill>
    </fill>
    <fill>
      <patternFill patternType="solid">
        <fgColor rgb="FFBDD7EE"/>
      </patternFill>
    </fill>
    <fill>
      <patternFill patternType="solid">
        <fgColor rgb="FFFF6666"/>
      </patternFill>
    </fill>
    <fill>
      <patternFill patternType="solid">
        <fgColor rgb="FFFFB347"/>
      </patternFill>
    </fill>
    <fill>
      <patternFill patternType="solid">
        <fgColor rgb="FFFFD966"/>
      </patternFill>
    </fill>
    <fill>
      <patternFill patternType="solid">
        <fgColor rgb="FF92D050"/>
      </patternFill>
    </fill>
    <fill>
      <patternFill patternType="solid">
        <fgColor rgb="FF00B050"/>
      </patternFill>
    </fill>
    <fill>
      <patternFill patternType="solid">
        <fgColor rgb="FF375623"/>
      </patternFill>
    </fill>
    <fill>
      <patternFill patternType="solid">
        <fgColor rgb="FFF2F2F2"/>
      </patternFill>
    </fill>
    <fill>
      <patternFill patternType="solid">
        <fgColor rgb="FFE2EFDA"/>
      </patternFill>
    </fill>
    <fill>
      <patternFill patternType="solid">
        <fgColor rgb="FFC8E6F5"/>
      </patternFill>
    </fill>
    <fill>
      <patternFill patternType="solid">
        <fgColor rgb="FFEFF8F1"/>
      </patternFill>
    </fill>
    <fill>
      <patternFill patternType="solid">
        <fgColor rgb="FFEAF0FB"/>
      </patternFill>
    </fill>
    <fill>
      <patternFill patternType="solid">
        <fgColor rgb="FFFFF2CC"/>
      </patternFill>
    </fill>
    <fill>
      <patternFill patternType="solid">
        <fgColor rgb="FFFFFFFF"/>
      </patternFill>
    </fill>
    <fill>
      <patternFill patternType="solid">
        <fgColor rgb="FFD5E8D4"/>
      </patternFill>
    </fill>
    <fill>
      <patternFill patternType="solid">
        <fgColor rgb="FF2E5FA3"/>
      </patternFill>
    </fill>
    <fill>
      <patternFill patternType="solid">
        <fgColor rgb="FF1F3864"/>
      </patternFill>
    </fill>
    <fill>
      <patternFill patternType="solid">
        <fgColor rgb="FF2E8B57"/>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38">
    <border>
      <left/>
      <right/>
      <top/>
      <bottom/>
      <diagonal/>
    </border>
    <border>
      <left style="medium">
        <color rgb="FF2E5FA3"/>
      </left>
      <right style="thin">
        <color rgb="FFAAAAAA"/>
      </right>
      <top style="medium">
        <color rgb="FF2E5FA3"/>
      </top>
      <bottom style="medium">
        <color rgb="FF2E5FA3"/>
      </bottom>
      <diagonal/>
    </border>
    <border>
      <left style="thin">
        <color rgb="FFAAAAAA"/>
      </left>
      <right style="thin">
        <color rgb="FFAAAAAA"/>
      </right>
      <top style="medium">
        <color rgb="FF2E5FA3"/>
      </top>
      <bottom style="medium">
        <color rgb="FF2E5FA3"/>
      </bottom>
      <diagonal/>
    </border>
    <border>
      <left style="thin">
        <color rgb="FFAAAAAA"/>
      </left>
      <right style="medium">
        <color rgb="FF2E5FA3"/>
      </right>
      <top style="medium">
        <color rgb="FF2E5FA3"/>
      </top>
      <bottom style="medium">
        <color rgb="FF2E5FA3"/>
      </bottom>
      <diagonal/>
    </border>
    <border>
      <left style="medium">
        <color rgb="FF2E5FA3"/>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medium">
        <color rgb="FF2E5FA3"/>
      </right>
      <top style="thin">
        <color rgb="FFAAAAAA"/>
      </top>
      <bottom style="thin">
        <color rgb="FFAAAAAA"/>
      </bottom>
      <diagonal/>
    </border>
    <border>
      <left style="thin">
        <color rgb="FFCCCCCC"/>
      </left>
      <right style="thin">
        <color rgb="FFCCCCCC"/>
      </right>
      <top style="medium">
        <color rgb="FF2E5FA3"/>
      </top>
      <bottom style="medium">
        <color rgb="FF2E5FA3"/>
      </bottom>
      <diagonal/>
    </border>
    <border>
      <left style="thin">
        <color rgb="FFCCCCCC"/>
      </left>
      <right style="medium">
        <color rgb="FF2E5FA3"/>
      </right>
      <top style="medium">
        <color rgb="FF2E5FA3"/>
      </top>
      <bottom style="medium">
        <color rgb="FF2E5FA3"/>
      </bottom>
      <diagonal/>
    </border>
    <border>
      <left style="medium">
        <color rgb="FF2E5FA3"/>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medium">
        <color rgb="FF2E5FA3"/>
      </right>
      <top style="thin">
        <color rgb="FFCCCCCC"/>
      </top>
      <bottom style="thin">
        <color rgb="FFCCCCCC"/>
      </bottom>
      <diagonal/>
    </border>
    <border>
      <left/>
      <right/>
      <top style="thin">
        <color rgb="FFCCCCCC"/>
      </top>
      <bottom style="thin">
        <color rgb="FFCCCCCC"/>
      </bottom>
      <diagonal/>
    </border>
    <border>
      <left/>
      <right style="medium">
        <color rgb="FF2E5FA3"/>
      </right>
      <top style="thin">
        <color rgb="FFCCCCCC"/>
      </top>
      <bottom style="thin">
        <color rgb="FFCCCCCC"/>
      </bottom>
      <diagonal/>
    </border>
    <border>
      <left/>
      <right style="thin">
        <color rgb="FFCCCCCC"/>
      </right>
      <top style="medium">
        <color rgb="FF2E5FA3"/>
      </top>
      <bottom style="medium">
        <color rgb="FF2E5FA3"/>
      </bottom>
      <diagonal/>
    </border>
    <border>
      <left style="medium">
        <color rgb="FF2E5FA3"/>
      </left>
      <right style="thin">
        <color rgb="FFCCCCCC"/>
      </right>
      <top style="thin">
        <color rgb="FFCCCCCC"/>
      </top>
      <bottom style="thin">
        <color indexed="64"/>
      </bottom>
      <diagonal/>
    </border>
    <border>
      <left style="thin">
        <color rgb="FFCCCCCC"/>
      </left>
      <right style="thin">
        <color rgb="FFCCCCCC"/>
      </right>
      <top style="thin">
        <color rgb="FFCCCCCC"/>
      </top>
      <bottom style="thin">
        <color indexed="64"/>
      </bottom>
      <diagonal/>
    </border>
    <border>
      <left style="thin">
        <color rgb="FFCCCCCC"/>
      </left>
      <right style="medium">
        <color rgb="FF2E5FA3"/>
      </right>
      <top style="thin">
        <color rgb="FFCCCCCC"/>
      </top>
      <bottom style="thin">
        <color indexed="64"/>
      </bottom>
      <diagonal/>
    </border>
    <border>
      <left/>
      <right/>
      <top style="thin">
        <color rgb="FFCCCCCC"/>
      </top>
      <bottom style="thin">
        <color indexed="64"/>
      </bottom>
      <diagonal/>
    </border>
    <border>
      <left/>
      <right style="medium">
        <color rgb="FF2E5FA3"/>
      </right>
      <top style="thin">
        <color rgb="FFCCCCCC"/>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2E5FA3"/>
      </left>
      <right style="thin">
        <color rgb="FFCCCCCC"/>
      </right>
      <top style="medium">
        <color rgb="FF2E5FA3"/>
      </top>
      <bottom style="medium">
        <color rgb="FF2E5FA3"/>
      </bottom>
      <diagonal/>
    </border>
    <border>
      <left style="thin">
        <color rgb="FFCCCCCC"/>
      </left>
      <right style="thin">
        <color rgb="FFCCCCCC"/>
      </right>
      <top style="medium">
        <color rgb="FF2E5FA3"/>
      </top>
      <bottom style="medium">
        <color rgb="FF2E5FA3"/>
      </bottom>
      <diagonal/>
    </border>
    <border>
      <left style="thin">
        <color rgb="FFCCCCCC"/>
      </left>
      <right style="medium">
        <color rgb="FF2E5FA3"/>
      </right>
      <top style="medium">
        <color rgb="FF2E5FA3"/>
      </top>
      <bottom style="medium">
        <color rgb="FF2E5FA3"/>
      </bottom>
      <diagonal/>
    </border>
    <border>
      <left style="medium">
        <color rgb="FF2E5FA3"/>
      </left>
      <right style="thin">
        <color rgb="FFCCCCCC"/>
      </right>
      <top style="thin">
        <color rgb="FFCCCCCC"/>
      </top>
      <bottom style="thin">
        <color rgb="FFCCCCCC"/>
      </bottom>
      <diagonal/>
    </border>
    <border>
      <left style="medium">
        <color rgb="FF2E5FA3"/>
      </left>
      <right style="medium">
        <color rgb="FF2E5FA3"/>
      </right>
      <top style="medium">
        <color rgb="FF2E5FA3"/>
      </top>
      <bottom style="medium">
        <color rgb="FF2E5FA3"/>
      </bottom>
      <diagonal/>
    </border>
    <border>
      <left style="thin">
        <color rgb="FFCCCCCC"/>
      </left>
      <right style="medium">
        <color rgb="FF2E5FA3"/>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CCCCCC"/>
      </bottom>
      <diagonal/>
    </border>
    <border>
      <left/>
      <right style="thin">
        <color rgb="FFCCCCCC"/>
      </right>
      <top/>
      <bottom style="thin">
        <color rgb="FFCCCCCC"/>
      </bottom>
      <diagonal/>
    </border>
    <border>
      <left style="medium">
        <color rgb="FF2E5FA3"/>
      </left>
      <right style="thin">
        <color rgb="FFCCCCCC"/>
      </right>
      <top/>
      <bottom style="thin">
        <color rgb="FFCCCCCC"/>
      </bottom>
      <diagonal/>
    </border>
    <border>
      <left style="thin">
        <color indexed="64"/>
      </left>
      <right style="thin">
        <color indexed="64"/>
      </right>
      <top/>
      <bottom style="thin">
        <color indexed="64"/>
      </bottom>
      <diagonal/>
    </border>
    <border>
      <left style="thin">
        <color rgb="FFCCCCCC"/>
      </left>
      <right style="medium">
        <color rgb="FF2E5FA3"/>
      </right>
      <top/>
      <bottom style="thin">
        <color rgb="FFCCCCCC"/>
      </bottom>
      <diagonal/>
    </border>
    <border>
      <left style="medium">
        <color rgb="FF2E5FA3"/>
      </left>
      <right style="thin">
        <color rgb="FFCCCCCC"/>
      </right>
      <top style="medium">
        <color rgb="FF2E5FA3"/>
      </top>
      <bottom/>
      <diagonal/>
    </border>
    <border>
      <left style="thin">
        <color rgb="FFCCCCCC"/>
      </left>
      <right style="thin">
        <color rgb="FFCCCCCC"/>
      </right>
      <top style="medium">
        <color rgb="FF2E5FA3"/>
      </top>
      <bottom/>
      <diagonal/>
    </border>
    <border>
      <left style="thin">
        <color rgb="FFCCCCCC"/>
      </left>
      <right style="medium">
        <color rgb="FF2E5FA3"/>
      </right>
      <top style="medium">
        <color rgb="FF2E5FA3"/>
      </top>
      <bottom/>
      <diagonal/>
    </border>
  </borders>
  <cellStyleXfs count="2">
    <xf numFmtId="0" fontId="0" fillId="0" borderId="0"/>
    <xf numFmtId="0" fontId="32" fillId="0" borderId="0"/>
  </cellStyleXfs>
  <cellXfs count="137">
    <xf numFmtId="0" fontId="0" fillId="0" borderId="0" xfId="0"/>
    <xf numFmtId="0" fontId="1" fillId="0" borderId="0" xfId="0" applyFont="1"/>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4" borderId="4" xfId="0" applyFont="1" applyFill="1" applyBorder="1" applyAlignment="1">
      <alignment horizontal="left"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5" fillId="6" borderId="4"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13" fillId="10" borderId="0" xfId="0" applyFont="1" applyFill="1" applyAlignment="1">
      <alignment horizontal="center" vertical="center" wrapText="1"/>
    </xf>
    <xf numFmtId="0" fontId="14" fillId="8" borderId="9" xfId="0" applyFont="1" applyFill="1" applyBorder="1" applyAlignment="1">
      <alignment horizontal="center" vertical="center" wrapText="1"/>
    </xf>
    <xf numFmtId="2" fontId="15" fillId="8" borderId="10" xfId="0" applyNumberFormat="1"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4" fillId="9" borderId="9" xfId="0" applyFont="1" applyFill="1" applyBorder="1" applyAlignment="1">
      <alignment horizontal="center" vertical="center" wrapText="1"/>
    </xf>
    <xf numFmtId="2" fontId="15" fillId="9" borderId="10" xfId="0" applyNumberFormat="1" applyFont="1" applyFill="1" applyBorder="1" applyAlignment="1">
      <alignment horizontal="center" vertical="center" wrapText="1"/>
    </xf>
    <xf numFmtId="2" fontId="16" fillId="10" borderId="8" xfId="0" applyNumberFormat="1" applyFont="1" applyFill="1" applyBorder="1" applyAlignment="1">
      <alignment horizontal="center" vertic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4" borderId="9"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3" fillId="15" borderId="9"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13" fillId="16" borderId="15" xfId="0" applyFont="1" applyFill="1" applyBorder="1" applyAlignment="1">
      <alignment horizontal="center" vertical="center" wrapText="1"/>
    </xf>
    <xf numFmtId="0" fontId="13" fillId="16" borderId="16" xfId="0" applyFont="1" applyFill="1" applyBorder="1" applyAlignment="1">
      <alignment horizontal="center" vertical="center" wrapText="1"/>
    </xf>
    <xf numFmtId="2" fontId="27" fillId="18" borderId="28" xfId="0" applyNumberFormat="1" applyFont="1" applyFill="1" applyBorder="1" applyAlignment="1">
      <alignment horizontal="center" vertical="center" wrapText="1"/>
    </xf>
    <xf numFmtId="0" fontId="30" fillId="23" borderId="28" xfId="0" applyFont="1" applyFill="1" applyBorder="1" applyAlignment="1">
      <alignment horizontal="center" vertical="center" wrapText="1"/>
    </xf>
    <xf numFmtId="0" fontId="21" fillId="24" borderId="26" xfId="0" applyFont="1" applyFill="1" applyBorder="1" applyAlignment="1">
      <alignment horizontal="center" vertical="center" wrapText="1"/>
    </xf>
    <xf numFmtId="2" fontId="27" fillId="24" borderId="28" xfId="0" applyNumberFormat="1" applyFont="1" applyFill="1" applyBorder="1" applyAlignment="1">
      <alignment horizontal="center" vertical="center" wrapText="1"/>
    </xf>
    <xf numFmtId="0" fontId="31" fillId="25" borderId="28" xfId="0" applyFont="1" applyFill="1" applyBorder="1" applyAlignment="1">
      <alignment horizontal="center" vertical="center" wrapText="1"/>
    </xf>
    <xf numFmtId="0" fontId="22" fillId="24" borderId="10" xfId="0" applyFont="1" applyFill="1" applyBorder="1" applyAlignment="1">
      <alignment horizontal="left" vertical="center" wrapText="1"/>
    </xf>
    <xf numFmtId="0" fontId="23" fillId="24" borderId="10" xfId="0" applyFont="1" applyFill="1" applyBorder="1" applyAlignment="1">
      <alignment horizontal="left" vertical="center" wrapText="1"/>
    </xf>
    <xf numFmtId="0" fontId="26" fillId="24" borderId="10" xfId="0" applyFont="1" applyFill="1" applyBorder="1" applyAlignment="1">
      <alignment horizontal="center" vertical="center" wrapText="1"/>
    </xf>
    <xf numFmtId="0" fontId="20" fillId="27" borderId="23" xfId="0" applyFont="1" applyFill="1" applyBorder="1" applyAlignment="1">
      <alignment horizontal="center" vertical="center" wrapText="1"/>
    </xf>
    <xf numFmtId="0" fontId="20" fillId="27" borderId="24" xfId="0" applyFont="1" applyFill="1" applyBorder="1" applyAlignment="1">
      <alignment horizontal="center" vertical="center" wrapText="1"/>
    </xf>
    <xf numFmtId="0" fontId="20" fillId="27" borderId="25" xfId="0" applyFont="1" applyFill="1" applyBorder="1" applyAlignment="1">
      <alignment horizontal="center" vertical="center" wrapText="1"/>
    </xf>
    <xf numFmtId="0" fontId="20" fillId="28" borderId="23" xfId="0" applyFont="1" applyFill="1" applyBorder="1" applyAlignment="1">
      <alignment horizontal="center" vertical="center" wrapText="1"/>
    </xf>
    <xf numFmtId="0" fontId="20" fillId="28" borderId="24" xfId="0" applyFont="1" applyFill="1" applyBorder="1" applyAlignment="1">
      <alignment horizontal="center" vertical="center" wrapText="1"/>
    </xf>
    <xf numFmtId="0" fontId="20" fillId="28" borderId="25" xfId="0" applyFont="1" applyFill="1" applyBorder="1" applyAlignment="1">
      <alignment horizontal="center" vertical="center" wrapText="1"/>
    </xf>
    <xf numFmtId="1" fontId="16" fillId="10" borderId="7" xfId="0" applyNumberFormat="1" applyFont="1" applyFill="1" applyBorder="1" applyAlignment="1">
      <alignment horizontal="center" vertical="center" wrapText="1"/>
    </xf>
    <xf numFmtId="0" fontId="0" fillId="30" borderId="0" xfId="0" applyFill="1"/>
    <xf numFmtId="0" fontId="0" fillId="31" borderId="0" xfId="0" applyFill="1"/>
    <xf numFmtId="0" fontId="0" fillId="32" borderId="0" xfId="0" applyFill="1"/>
    <xf numFmtId="0" fontId="0" fillId="31" borderId="20" xfId="0" applyFill="1" applyBorder="1" applyAlignment="1">
      <alignment horizontal="center" vertical="center"/>
    </xf>
    <xf numFmtId="2" fontId="33" fillId="29" borderId="33" xfId="0" applyNumberFormat="1" applyFont="1" applyFill="1" applyBorder="1" applyAlignment="1">
      <alignment horizontal="center" vertical="center"/>
    </xf>
    <xf numFmtId="0" fontId="20" fillId="17" borderId="20" xfId="0" applyFont="1" applyFill="1" applyBorder="1" applyAlignment="1">
      <alignment horizontal="center" vertical="center" wrapText="1"/>
    </xf>
    <xf numFmtId="0" fontId="21" fillId="18" borderId="20" xfId="0" applyFont="1" applyFill="1" applyBorder="1" applyAlignment="1">
      <alignment horizontal="center" vertical="center" wrapText="1"/>
    </xf>
    <xf numFmtId="0" fontId="22" fillId="18" borderId="20" xfId="0" applyFont="1" applyFill="1" applyBorder="1" applyAlignment="1">
      <alignment horizontal="left" vertical="center" wrapText="1"/>
    </xf>
    <xf numFmtId="0" fontId="23" fillId="18" borderId="20" xfId="0" applyFont="1" applyFill="1" applyBorder="1" applyAlignment="1">
      <alignment horizontal="left" vertical="center" wrapText="1"/>
    </xf>
    <xf numFmtId="0" fontId="24" fillId="19" borderId="20" xfId="0" applyFont="1" applyFill="1" applyBorder="1" applyAlignment="1">
      <alignment horizontal="center" vertical="center" wrapText="1"/>
    </xf>
    <xf numFmtId="0" fontId="25" fillId="20" borderId="20" xfId="0" applyFont="1" applyFill="1" applyBorder="1" applyAlignment="1">
      <alignment horizontal="center" vertical="center" wrapText="1"/>
    </xf>
    <xf numFmtId="0" fontId="26" fillId="18" borderId="20" xfId="0" applyFont="1" applyFill="1" applyBorder="1" applyAlignment="1">
      <alignment horizontal="center" vertical="center" wrapText="1"/>
    </xf>
    <xf numFmtId="2" fontId="27" fillId="18" borderId="20" xfId="0" applyNumberFormat="1" applyFont="1" applyFill="1" applyBorder="1" applyAlignment="1">
      <alignment horizontal="center" vertical="center" wrapText="1"/>
    </xf>
    <xf numFmtId="0" fontId="32" fillId="22" borderId="20" xfId="1" applyFill="1" applyBorder="1" applyAlignment="1">
      <alignment horizontal="left" vertical="center" wrapText="1"/>
    </xf>
    <xf numFmtId="0" fontId="30" fillId="23" borderId="20" xfId="0" applyFont="1" applyFill="1" applyBorder="1" applyAlignment="1">
      <alignment horizontal="center" vertical="center" wrapText="1"/>
    </xf>
    <xf numFmtId="0" fontId="29" fillId="22" borderId="20" xfId="0" applyFont="1" applyFill="1" applyBorder="1" applyAlignment="1">
      <alignment horizontal="left" vertical="center" wrapText="1"/>
    </xf>
    <xf numFmtId="0" fontId="32" fillId="22" borderId="20" xfId="0" applyFont="1" applyFill="1" applyBorder="1" applyAlignment="1">
      <alignment horizontal="left" vertical="center" wrapText="1"/>
    </xf>
    <xf numFmtId="0" fontId="0" fillId="33" borderId="20" xfId="0" applyFill="1" applyBorder="1" applyAlignment="1">
      <alignment horizontal="center" vertical="center"/>
    </xf>
    <xf numFmtId="0" fontId="34" fillId="21" borderId="20" xfId="0" applyFont="1" applyFill="1" applyBorder="1" applyAlignment="1">
      <alignment horizontal="left" vertical="center" wrapText="1"/>
    </xf>
    <xf numFmtId="0" fontId="35" fillId="31" borderId="20" xfId="0" applyFont="1" applyFill="1" applyBorder="1" applyAlignment="1">
      <alignment vertical="top" wrapText="1"/>
    </xf>
    <xf numFmtId="0" fontId="36" fillId="31" borderId="20" xfId="0" applyFont="1" applyFill="1" applyBorder="1" applyAlignment="1">
      <alignment vertical="center" wrapText="1"/>
    </xf>
    <xf numFmtId="0" fontId="28" fillId="21" borderId="32" xfId="0" applyFont="1" applyFill="1" applyBorder="1" applyAlignment="1">
      <alignment horizontal="left" vertical="center" wrapText="1"/>
    </xf>
    <xf numFmtId="0" fontId="30" fillId="23" borderId="34" xfId="0" applyFont="1" applyFill="1" applyBorder="1" applyAlignment="1">
      <alignment horizontal="center" vertical="center" wrapText="1"/>
    </xf>
    <xf numFmtId="0" fontId="20" fillId="26" borderId="20" xfId="0" applyFont="1" applyFill="1" applyBorder="1" applyAlignment="1">
      <alignment horizontal="center" vertical="center" wrapText="1"/>
    </xf>
    <xf numFmtId="0" fontId="21" fillId="24" borderId="20" xfId="0" applyFont="1" applyFill="1" applyBorder="1" applyAlignment="1">
      <alignment horizontal="center" vertical="center" wrapText="1"/>
    </xf>
    <xf numFmtId="0" fontId="22" fillId="24" borderId="20" xfId="0" applyFont="1" applyFill="1" applyBorder="1" applyAlignment="1">
      <alignment horizontal="left" vertical="center" wrapText="1"/>
    </xf>
    <xf numFmtId="0" fontId="23" fillId="24" borderId="20" xfId="0" applyFont="1" applyFill="1" applyBorder="1" applyAlignment="1">
      <alignment horizontal="left" vertical="center" wrapText="1"/>
    </xf>
    <xf numFmtId="0" fontId="26" fillId="24" borderId="20" xfId="0" applyFont="1" applyFill="1" applyBorder="1" applyAlignment="1">
      <alignment horizontal="center" vertical="center" wrapText="1"/>
    </xf>
    <xf numFmtId="2" fontId="27" fillId="24" borderId="20" xfId="0" applyNumberFormat="1" applyFont="1" applyFill="1" applyBorder="1" applyAlignment="1">
      <alignment horizontal="center" vertical="center" wrapText="1"/>
    </xf>
    <xf numFmtId="0" fontId="37" fillId="34" borderId="20" xfId="0" applyFont="1" applyFill="1" applyBorder="1" applyAlignment="1">
      <alignment horizontal="center" vertical="center" wrapText="1"/>
    </xf>
    <xf numFmtId="0" fontId="38" fillId="34" borderId="20" xfId="0" applyFont="1" applyFill="1" applyBorder="1" applyAlignment="1">
      <alignment horizontal="center" vertical="center"/>
    </xf>
    <xf numFmtId="2" fontId="39" fillId="29" borderId="34" xfId="0" applyNumberFormat="1" applyFont="1" applyFill="1" applyBorder="1" applyAlignment="1">
      <alignment horizontal="center" vertical="center" wrapText="1"/>
    </xf>
    <xf numFmtId="0" fontId="29" fillId="33" borderId="20" xfId="0" applyFont="1" applyFill="1" applyBorder="1" applyAlignment="1">
      <alignment horizontal="left" vertical="center" wrapText="1"/>
    </xf>
    <xf numFmtId="0" fontId="29" fillId="31" borderId="34" xfId="0" applyFont="1" applyFill="1" applyBorder="1" applyAlignment="1">
      <alignment horizontal="left" vertical="center" wrapText="1"/>
    </xf>
    <xf numFmtId="0" fontId="40" fillId="33" borderId="20" xfId="1" applyFont="1" applyFill="1" applyBorder="1" applyAlignment="1">
      <alignment vertical="center" wrapText="1"/>
    </xf>
    <xf numFmtId="0" fontId="13" fillId="17" borderId="20" xfId="0" applyFont="1" applyFill="1" applyBorder="1" applyAlignment="1">
      <alignment horizontal="center" vertical="center" wrapText="1"/>
    </xf>
    <xf numFmtId="0" fontId="13" fillId="26" borderId="20" xfId="0" applyFont="1" applyFill="1" applyBorder="1" applyAlignment="1">
      <alignment horizontal="center" vertical="center" wrapText="1"/>
    </xf>
    <xf numFmtId="0" fontId="28" fillId="21" borderId="26" xfId="0" applyFont="1" applyFill="1" applyBorder="1" applyAlignment="1">
      <alignment horizontal="left" vertical="center" wrapText="1"/>
    </xf>
    <xf numFmtId="0" fontId="29" fillId="22" borderId="28" xfId="0" applyFont="1" applyFill="1" applyBorder="1" applyAlignment="1">
      <alignment horizontal="left" vertical="center" wrapText="1"/>
    </xf>
    <xf numFmtId="2" fontId="27" fillId="29" borderId="28" xfId="0" applyNumberFormat="1" applyFont="1" applyFill="1" applyBorder="1" applyAlignment="1">
      <alignment horizontal="center" vertical="center" wrapText="1"/>
    </xf>
    <xf numFmtId="0" fontId="29" fillId="35" borderId="28" xfId="0" applyFont="1" applyFill="1" applyBorder="1" applyAlignment="1">
      <alignment horizontal="left" vertical="center" wrapText="1"/>
    </xf>
    <xf numFmtId="0" fontId="32" fillId="35" borderId="0" xfId="1" applyFill="1" applyAlignment="1">
      <alignment horizontal="left" vertical="center" wrapText="1"/>
    </xf>
    <xf numFmtId="0" fontId="24" fillId="19" borderId="10" xfId="0" applyFont="1" applyFill="1" applyBorder="1" applyAlignment="1">
      <alignment horizontal="center" vertical="center" wrapText="1"/>
    </xf>
    <xf numFmtId="0" fontId="0" fillId="0" borderId="0" xfId="0"/>
    <xf numFmtId="0" fontId="21" fillId="18" borderId="26" xfId="0" applyFont="1" applyFill="1" applyBorder="1" applyAlignment="1">
      <alignment horizontal="center" vertical="center" wrapText="1"/>
    </xf>
    <xf numFmtId="0" fontId="22" fillId="18" borderId="10" xfId="0" applyFont="1" applyFill="1" applyBorder="1" applyAlignment="1">
      <alignment horizontal="left" vertical="center" wrapText="1"/>
    </xf>
    <xf numFmtId="0" fontId="23" fillId="18" borderId="10" xfId="0" applyFont="1" applyFill="1" applyBorder="1" applyAlignment="1">
      <alignment horizontal="left" vertical="center" wrapText="1"/>
    </xf>
    <xf numFmtId="0" fontId="41" fillId="34" borderId="10" xfId="0" applyFont="1" applyFill="1" applyBorder="1" applyAlignment="1">
      <alignment horizontal="center" vertical="center" wrapText="1"/>
    </xf>
    <xf numFmtId="0" fontId="25" fillId="20" borderId="27" xfId="0" applyFont="1" applyFill="1" applyBorder="1" applyAlignment="1">
      <alignment horizontal="center" vertical="center" wrapText="1"/>
    </xf>
    <xf numFmtId="0" fontId="26" fillId="18" borderId="10" xfId="0" applyFont="1" applyFill="1" applyBorder="1" applyAlignment="1">
      <alignment horizontal="center" vertical="center" wrapText="1"/>
    </xf>
    <xf numFmtId="0" fontId="43" fillId="36" borderId="10" xfId="0" applyFont="1" applyFill="1" applyBorder="1" applyAlignment="1">
      <alignment horizontal="center" vertical="center" wrapText="1"/>
    </xf>
    <xf numFmtId="0" fontId="14" fillId="18" borderId="10" xfId="0" applyFont="1" applyFill="1" applyBorder="1" applyAlignment="1">
      <alignment horizontal="left" vertical="center" wrapText="1"/>
    </xf>
    <xf numFmtId="0" fontId="20" fillId="28" borderId="35" xfId="0" applyFont="1" applyFill="1" applyBorder="1" applyAlignment="1">
      <alignment horizontal="center" vertical="center" wrapText="1"/>
    </xf>
    <xf numFmtId="0" fontId="20" fillId="28" borderId="36" xfId="0" applyFont="1" applyFill="1" applyBorder="1" applyAlignment="1">
      <alignment horizontal="center" vertical="center" wrapText="1"/>
    </xf>
    <xf numFmtId="0" fontId="20" fillId="28" borderId="37" xfId="0" applyFont="1" applyFill="1" applyBorder="1" applyAlignment="1">
      <alignment horizontal="center" vertical="center" wrapText="1"/>
    </xf>
    <xf numFmtId="2" fontId="27" fillId="29" borderId="34" xfId="0" applyNumberFormat="1" applyFont="1" applyFill="1" applyBorder="1" applyAlignment="1">
      <alignment horizontal="center" vertical="center" wrapText="1"/>
    </xf>
    <xf numFmtId="0" fontId="29" fillId="35" borderId="34" xfId="0" applyFont="1" applyFill="1" applyBorder="1" applyAlignment="1">
      <alignment horizontal="left" vertical="center" wrapText="1"/>
    </xf>
    <xf numFmtId="0" fontId="41" fillId="34" borderId="20" xfId="0" applyFont="1" applyFill="1" applyBorder="1" applyAlignment="1">
      <alignment horizontal="center" vertical="center" wrapText="1"/>
    </xf>
    <xf numFmtId="0" fontId="28" fillId="21" borderId="20" xfId="0" applyFont="1" applyFill="1" applyBorder="1" applyAlignment="1">
      <alignment horizontal="left" vertical="center" wrapText="1"/>
    </xf>
    <xf numFmtId="0" fontId="29" fillId="35" borderId="20" xfId="0" applyFont="1" applyFill="1" applyBorder="1" applyAlignment="1">
      <alignment horizontal="left" vertical="center" wrapText="1"/>
    </xf>
    <xf numFmtId="0" fontId="42" fillId="0" borderId="0" xfId="0" applyFont="1"/>
    <xf numFmtId="0" fontId="9" fillId="5" borderId="20" xfId="0" applyFont="1" applyFill="1" applyBorder="1" applyAlignment="1">
      <alignment horizontal="left" vertical="center" wrapText="1"/>
    </xf>
    <xf numFmtId="0" fontId="0" fillId="0" borderId="21" xfId="0" applyBorder="1"/>
    <xf numFmtId="0" fontId="0" fillId="0" borderId="22" xfId="0" applyBorder="1"/>
    <xf numFmtId="0" fontId="2" fillId="2" borderId="0" xfId="0" applyFont="1" applyFill="1" applyAlignment="1">
      <alignment horizontal="center" vertical="center" wrapText="1"/>
    </xf>
    <xf numFmtId="0" fontId="0" fillId="0" borderId="0" xfId="0"/>
    <xf numFmtId="0" fontId="8" fillId="3" borderId="20" xfId="0" applyFont="1" applyFill="1" applyBorder="1" applyAlignment="1">
      <alignment horizontal="center" vertical="center" wrapText="1"/>
    </xf>
    <xf numFmtId="0" fontId="9" fillId="4" borderId="20" xfId="0" applyFont="1" applyFill="1" applyBorder="1" applyAlignment="1">
      <alignment horizontal="left" vertical="center" wrapText="1"/>
    </xf>
    <xf numFmtId="0" fontId="3" fillId="3" borderId="0" xfId="0" applyFont="1" applyFill="1" applyAlignment="1">
      <alignment horizontal="center" vertical="center" wrapText="1"/>
    </xf>
    <xf numFmtId="0" fontId="21" fillId="18" borderId="32" xfId="0" applyFont="1" applyFill="1" applyBorder="1" applyAlignment="1">
      <alignment horizontal="center" vertical="center" wrapText="1"/>
    </xf>
    <xf numFmtId="0" fontId="0" fillId="0" borderId="30" xfId="0" applyBorder="1"/>
    <xf numFmtId="0" fontId="0" fillId="0" borderId="31" xfId="0" applyBorder="1"/>
    <xf numFmtId="0" fontId="19" fillId="17" borderId="0" xfId="0" applyFont="1" applyFill="1" applyAlignment="1">
      <alignment horizontal="center" vertical="center" wrapText="1"/>
    </xf>
    <xf numFmtId="0" fontId="19" fillId="26" borderId="0" xfId="0" applyFont="1" applyFill="1" applyAlignment="1">
      <alignment horizontal="center" vertical="center" wrapText="1"/>
    </xf>
    <xf numFmtId="0" fontId="19" fillId="28" borderId="0" xfId="0" applyFont="1" applyFill="1" applyAlignment="1">
      <alignment horizontal="center" vertical="center" wrapText="1"/>
    </xf>
    <xf numFmtId="0" fontId="19" fillId="27" borderId="0" xfId="0" applyFont="1" applyFill="1" applyAlignment="1">
      <alignment horizontal="center" vertical="center" wrapText="1"/>
    </xf>
    <xf numFmtId="0" fontId="21" fillId="18" borderId="26" xfId="0" applyFont="1" applyFill="1" applyBorder="1" applyAlignment="1">
      <alignment horizontal="center" vertical="center" wrapText="1"/>
    </xf>
    <xf numFmtId="0" fontId="0" fillId="0" borderId="12" xfId="0" applyBorder="1"/>
    <xf numFmtId="0" fontId="0" fillId="0" borderId="29" xfId="0" applyBorder="1"/>
    <xf numFmtId="0" fontId="11" fillId="8" borderId="28" xfId="0" applyFont="1" applyFill="1" applyBorder="1" applyAlignment="1">
      <alignment horizontal="left" vertical="center" wrapText="1"/>
    </xf>
    <xf numFmtId="0" fontId="0" fillId="0" borderId="13" xfId="0" applyBorder="1"/>
    <xf numFmtId="0" fontId="17" fillId="11" borderId="0" xfId="0" applyFont="1" applyFill="1" applyAlignment="1">
      <alignment horizontal="center" vertical="center" wrapText="1"/>
    </xf>
    <xf numFmtId="2" fontId="16" fillId="10" borderId="23" xfId="0" applyNumberFormat="1" applyFont="1" applyFill="1" applyBorder="1" applyAlignment="1">
      <alignment horizontal="center" vertical="center" wrapText="1"/>
    </xf>
    <xf numFmtId="0" fontId="0" fillId="0" borderId="14" xfId="0" applyBorder="1"/>
    <xf numFmtId="0" fontId="11" fillId="8" borderId="17" xfId="0" applyFont="1" applyFill="1" applyBorder="1" applyAlignment="1">
      <alignment horizontal="left" vertical="center" wrapText="1"/>
    </xf>
    <xf numFmtId="0" fontId="0" fillId="0" borderId="18" xfId="0" applyBorder="1"/>
    <xf numFmtId="0" fontId="0" fillId="0" borderId="19" xfId="0" applyBorder="1"/>
    <xf numFmtId="0" fontId="11" fillId="9" borderId="28" xfId="0" applyFont="1" applyFill="1" applyBorder="1" applyAlignment="1">
      <alignment horizontal="left" vertical="center" wrapText="1"/>
    </xf>
    <xf numFmtId="0" fontId="12" fillId="10" borderId="0" xfId="0" applyFont="1" applyFill="1" applyAlignment="1">
      <alignment horizontal="center" vertical="center" wrapText="1"/>
    </xf>
    <xf numFmtId="0" fontId="10" fillId="7" borderId="0" xfId="0" applyFont="1" applyFill="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nies.mineducacion.gov.co/portal/Consultas/" TargetMode="External"/><Relationship Id="rId3" Type="http://schemas.openxmlformats.org/officeDocument/2006/relationships/hyperlink" Target="https://fundacionexe.org.co/wp-content/uploads/2024/03/&#191;Como-esta-Cucuta-en-educacion-Retos-y-prioridades-2024-2027.pdf" TargetMode="External"/><Relationship Id="rId7" Type="http://schemas.openxmlformats.org/officeDocument/2006/relationships/hyperlink" Target="https://mintic.gov.co/portal/inicio/Sala-de-prensa/MinTIC-en-los-medios/176311:Gobierno-y-operadores-privados-buscan-mejorar-conectividad-en-Norte-de-Santander" TargetMode="External"/><Relationship Id="rId2" Type="http://schemas.openxmlformats.org/officeDocument/2006/relationships/hyperlink" Target="https://fundacionexe.org.co/wp-content/uploads/2024/03/%C2%BFComo-esta-Cucuta-en-educacion-Retos-y-prioridades-2024-2027.pdf" TargetMode="External"/><Relationship Id="rId1" Type="http://schemas.openxmlformats.org/officeDocument/2006/relationships/hyperlink" Target="https://fundacionexe.org.co/wp-content/uploads/2024/03/%C2%BFComo-esta-Cucuta-en-educacion-Retos-y-prioridades-2024-2027.pdf" TargetMode="External"/><Relationship Id="rId6" Type="http://schemas.openxmlformats.org/officeDocument/2006/relationships/hyperlink" Target="https://administrador.nortedesantander.gov.co/wp-content/uploads/2023/11/BALANCE-DE-GESTION-2020-2023-INDENORTE.pdf" TargetMode="External"/><Relationship Id="rId5" Type="http://schemas.openxmlformats.org/officeDocument/2006/relationships/hyperlink" Target="https://cucutacomovamos.com/wp-content/uploads/2022/02/informe-2019.pdf" TargetMode="External"/><Relationship Id="rId4" Type="http://schemas.openxmlformats.org/officeDocument/2006/relationships/hyperlink" Target="https://fundacionexe.org.co/wp-content/uploads/2024/03/%C2%BFComo-esta-Cucuta-en-educacion-Retos-y-prioridades-2024-2027.pdf" TargetMode="External"/><Relationship Id="rId9" Type="http://schemas.openxmlformats.org/officeDocument/2006/relationships/hyperlink" Target="https://www.topuniversities.com/world-university-rankings/2025"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anex-GEIHMLJ-dic2025-feb2026.xlsx" TargetMode="External"/><Relationship Id="rId1" Type="http://schemas.openxmlformats.org/officeDocument/2006/relationships/hyperlink" Target="https://colaboracion.dnp.gov.co/CDT/Estudios%20Econmicos/6%20Informe%20C%C3%BAcuta%202024%20V.2.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aopinion.co/cucuta/entre-residuos-y-esperanza-los-recicladores-que-sostienen-la-economia-circular-en-cucu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opLeftCell="A7" workbookViewId="0">
      <selection activeCell="B23" sqref="B23:E23"/>
    </sheetView>
  </sheetViews>
  <sheetFormatPr baseColWidth="10" defaultColWidth="9.140625" defaultRowHeight="15" x14ac:dyDescent="0.25"/>
  <cols>
    <col min="1" max="1" width="4" style="90" customWidth="1"/>
    <col min="2" max="2" width="32" style="90" customWidth="1"/>
    <col min="3" max="3" width="28" style="90" customWidth="1"/>
    <col min="4" max="4" width="22" style="90" customWidth="1"/>
    <col min="5" max="5" width="29.42578125" style="90" customWidth="1"/>
  </cols>
  <sheetData>
    <row r="1" spans="1:5" ht="21.75" customHeight="1" x14ac:dyDescent="0.25">
      <c r="A1" s="1"/>
      <c r="B1" s="1"/>
      <c r="C1" s="1"/>
      <c r="D1" s="1"/>
      <c r="E1" s="1"/>
    </row>
    <row r="2" spans="1:5" ht="21.75" customHeight="1" x14ac:dyDescent="0.25">
      <c r="A2" s="1"/>
      <c r="B2" s="111" t="s">
        <v>0</v>
      </c>
      <c r="C2" s="112"/>
      <c r="D2" s="112"/>
      <c r="E2" s="112"/>
    </row>
    <row r="3" spans="1:5" ht="21.75" customHeight="1" x14ac:dyDescent="0.25">
      <c r="A3" s="1"/>
      <c r="B3" s="112"/>
      <c r="C3" s="112"/>
      <c r="D3" s="112"/>
      <c r="E3" s="112"/>
    </row>
    <row r="4" spans="1:5" ht="21.75" customHeight="1" x14ac:dyDescent="0.25">
      <c r="A4" s="1"/>
      <c r="B4" s="112"/>
      <c r="C4" s="112"/>
      <c r="D4" s="112"/>
      <c r="E4" s="112"/>
    </row>
    <row r="5" spans="1:5" ht="21.75" customHeight="1" x14ac:dyDescent="0.25">
      <c r="A5" s="1"/>
      <c r="B5" s="115" t="s">
        <v>1</v>
      </c>
      <c r="C5" s="112"/>
      <c r="D5" s="112"/>
      <c r="E5" s="112"/>
    </row>
    <row r="6" spans="1:5" ht="21.75" customHeight="1" x14ac:dyDescent="0.25">
      <c r="A6" s="1"/>
      <c r="B6" s="112"/>
      <c r="C6" s="112"/>
      <c r="D6" s="112"/>
      <c r="E6" s="112"/>
    </row>
    <row r="7" spans="1:5" ht="21.75" customHeight="1" x14ac:dyDescent="0.25">
      <c r="A7" s="1"/>
      <c r="B7" s="112"/>
      <c r="C7" s="112"/>
      <c r="D7" s="112"/>
      <c r="E7" s="112"/>
    </row>
    <row r="8" spans="1:5" ht="21.75" customHeight="1" x14ac:dyDescent="0.25">
      <c r="A8" s="1"/>
      <c r="B8" s="1"/>
      <c r="C8" s="1"/>
      <c r="D8" s="1"/>
      <c r="E8" s="1"/>
    </row>
    <row r="9" spans="1:5" ht="21.75" customHeight="1" x14ac:dyDescent="0.25">
      <c r="A9" s="1"/>
      <c r="B9" s="2" t="s">
        <v>2</v>
      </c>
      <c r="C9" s="3" t="s">
        <v>3</v>
      </c>
      <c r="D9" s="3" t="s">
        <v>4</v>
      </c>
      <c r="E9" s="4" t="s">
        <v>5</v>
      </c>
    </row>
    <row r="10" spans="1:5" ht="37.5" customHeight="1" x14ac:dyDescent="0.25">
      <c r="A10" s="1"/>
      <c r="B10" s="5" t="s">
        <v>6</v>
      </c>
      <c r="C10" s="6">
        <v>13</v>
      </c>
      <c r="D10" s="6">
        <v>16</v>
      </c>
      <c r="E10" s="7" t="s">
        <v>7</v>
      </c>
    </row>
    <row r="11" spans="1:5" ht="36.75" customHeight="1" x14ac:dyDescent="0.25">
      <c r="A11" s="1"/>
      <c r="B11" s="8" t="s">
        <v>8</v>
      </c>
      <c r="C11" s="9">
        <v>13</v>
      </c>
      <c r="D11" s="9">
        <v>16</v>
      </c>
      <c r="E11" s="10" t="s">
        <v>9</v>
      </c>
    </row>
    <row r="12" spans="1:5" ht="36.75" customHeight="1" x14ac:dyDescent="0.25">
      <c r="A12" s="1"/>
      <c r="B12" s="11" t="s">
        <v>10</v>
      </c>
      <c r="C12" s="6">
        <v>6</v>
      </c>
      <c r="D12" s="6">
        <v>16</v>
      </c>
      <c r="E12" s="7" t="s">
        <v>11</v>
      </c>
    </row>
    <row r="13" spans="1:5" ht="35.25" customHeight="1" x14ac:dyDescent="0.25">
      <c r="A13" s="1"/>
      <c r="B13" s="8" t="s">
        <v>12</v>
      </c>
      <c r="C13" s="9">
        <v>7</v>
      </c>
      <c r="D13" s="9">
        <v>16</v>
      </c>
      <c r="E13" s="10" t="s">
        <v>13</v>
      </c>
    </row>
    <row r="14" spans="1:5" ht="38.25" customHeight="1" x14ac:dyDescent="0.25">
      <c r="A14" s="1"/>
      <c r="B14" s="11" t="s">
        <v>14</v>
      </c>
      <c r="C14" s="6">
        <v>11</v>
      </c>
      <c r="D14" s="6">
        <v>16</v>
      </c>
      <c r="E14" s="7" t="s">
        <v>15</v>
      </c>
    </row>
    <row r="15" spans="1:5" ht="37.5" customHeight="1" x14ac:dyDescent="0.25">
      <c r="A15" s="1"/>
      <c r="B15" s="12" t="s">
        <v>16</v>
      </c>
      <c r="C15" s="13">
        <v>10</v>
      </c>
      <c r="D15" s="13">
        <v>20</v>
      </c>
      <c r="E15" s="14" t="s">
        <v>17</v>
      </c>
    </row>
    <row r="16" spans="1:5" ht="34.5" customHeight="1" x14ac:dyDescent="0.25">
      <c r="A16" s="1"/>
      <c r="B16" s="2" t="s">
        <v>18</v>
      </c>
      <c r="C16" s="3">
        <f>SUM(C10:C15)</f>
        <v>60</v>
      </c>
      <c r="D16" s="3">
        <f>SUM(D10:D15)</f>
        <v>100</v>
      </c>
      <c r="E16" s="4"/>
    </row>
    <row r="17" spans="1:5" ht="21.75" customHeight="1" x14ac:dyDescent="0.25">
      <c r="A17" s="1"/>
      <c r="B17" s="1"/>
      <c r="C17" s="1"/>
      <c r="D17" s="1"/>
      <c r="E17" s="1"/>
    </row>
    <row r="18" spans="1:5" ht="21.75" customHeight="1" x14ac:dyDescent="0.25">
      <c r="A18" s="1"/>
      <c r="B18" s="1"/>
      <c r="C18" s="1"/>
      <c r="D18" s="1"/>
      <c r="E18" s="1"/>
    </row>
    <row r="19" spans="1:5" ht="21.75" customHeight="1" x14ac:dyDescent="0.25">
      <c r="A19" s="1"/>
      <c r="B19" s="113" t="s">
        <v>19</v>
      </c>
      <c r="C19" s="109"/>
      <c r="D19" s="109"/>
      <c r="E19" s="110"/>
    </row>
    <row r="20" spans="1:5" ht="21.75" customHeight="1" x14ac:dyDescent="0.25">
      <c r="A20" s="1"/>
      <c r="B20" s="114" t="s">
        <v>20</v>
      </c>
      <c r="C20" s="109"/>
      <c r="D20" s="109"/>
      <c r="E20" s="110"/>
    </row>
    <row r="21" spans="1:5" ht="21.75" customHeight="1" x14ac:dyDescent="0.25">
      <c r="A21" s="1"/>
      <c r="B21" s="108" t="s">
        <v>21</v>
      </c>
      <c r="C21" s="109"/>
      <c r="D21" s="109"/>
      <c r="E21" s="110"/>
    </row>
    <row r="22" spans="1:5" ht="21.75" customHeight="1" x14ac:dyDescent="0.25">
      <c r="A22" s="1"/>
      <c r="B22" s="114" t="s">
        <v>22</v>
      </c>
      <c r="C22" s="109"/>
      <c r="D22" s="109"/>
      <c r="E22" s="110"/>
    </row>
    <row r="23" spans="1:5" ht="21.75" customHeight="1" x14ac:dyDescent="0.25">
      <c r="A23" s="1"/>
      <c r="B23" s="108" t="s">
        <v>23</v>
      </c>
      <c r="C23" s="109"/>
      <c r="D23" s="109"/>
      <c r="E23" s="110"/>
    </row>
    <row r="24" spans="1:5" ht="21.75" customHeight="1" x14ac:dyDescent="0.25"/>
    <row r="25" spans="1:5" ht="21.95" customHeight="1" x14ac:dyDescent="0.25"/>
    <row r="26" spans="1:5" ht="20.100000000000001" customHeight="1" x14ac:dyDescent="0.25"/>
    <row r="27" spans="1:5" ht="20.100000000000001" customHeight="1" x14ac:dyDescent="0.25"/>
    <row r="28" spans="1:5" ht="20.100000000000001" customHeight="1" x14ac:dyDescent="0.25"/>
    <row r="29" spans="1:5" ht="18" customHeight="1" x14ac:dyDescent="0.25"/>
    <row r="30" spans="1:5" ht="21.75" customHeight="1" x14ac:dyDescent="0.25"/>
    <row r="31" spans="1:5" ht="21.75" customHeight="1" x14ac:dyDescent="0.25"/>
    <row r="32" spans="1:5" ht="21.75" customHeight="1" x14ac:dyDescent="0.25"/>
    <row r="33" ht="21.75" customHeight="1" x14ac:dyDescent="0.25"/>
  </sheetData>
  <mergeCells count="7">
    <mergeCell ref="B23:E23"/>
    <mergeCell ref="B21:E21"/>
    <mergeCell ref="B2:E4"/>
    <mergeCell ref="B19:E19"/>
    <mergeCell ref="B20:E20"/>
    <mergeCell ref="B5:E7"/>
    <mergeCell ref="B22:E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showGridLines="0" tabSelected="1" topLeftCell="A10" workbookViewId="0">
      <selection activeCell="G15" sqref="G15"/>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1.5" customHeight="1" x14ac:dyDescent="0.25">
      <c r="A1" s="119" t="s">
        <v>24</v>
      </c>
      <c r="B1" s="112"/>
      <c r="C1" s="112"/>
      <c r="D1" s="112"/>
      <c r="E1" s="112"/>
      <c r="F1" s="112"/>
      <c r="G1" s="112"/>
      <c r="H1" s="112"/>
      <c r="I1" s="112"/>
      <c r="J1" s="112"/>
    </row>
    <row r="2" spans="1:10" ht="30" customHeight="1" x14ac:dyDescent="0.25">
      <c r="A2" s="52" t="s">
        <v>25</v>
      </c>
      <c r="B2" s="52" t="s">
        <v>26</v>
      </c>
      <c r="C2" s="52" t="s">
        <v>27</v>
      </c>
      <c r="D2" s="52" t="s">
        <v>28</v>
      </c>
      <c r="E2" s="52" t="s">
        <v>29</v>
      </c>
      <c r="F2" s="52" t="s">
        <v>30</v>
      </c>
      <c r="G2" s="52" t="s">
        <v>31</v>
      </c>
      <c r="H2" s="82" t="s">
        <v>32</v>
      </c>
      <c r="I2" s="52" t="s">
        <v>33</v>
      </c>
      <c r="J2" s="52" t="s">
        <v>34</v>
      </c>
    </row>
    <row r="3" spans="1:10" ht="60" customHeight="1" x14ac:dyDescent="0.25">
      <c r="A3" s="53">
        <v>1</v>
      </c>
      <c r="B3" s="54" t="s">
        <v>35</v>
      </c>
      <c r="C3" s="55" t="s">
        <v>36</v>
      </c>
      <c r="D3" s="56" t="s">
        <v>37</v>
      </c>
      <c r="E3" s="57">
        <v>84.3</v>
      </c>
      <c r="F3" s="58">
        <v>95</v>
      </c>
      <c r="G3" s="59">
        <f t="shared" ref="G3:G13" si="0">IF(E3="","–",IF(D3="Negativo ↓",MIN(10,MAX(0,IFERROR(F3/E3*10,0))),MIN(10,MAX(0,IFERROR(E3/F3*10,0)))))</f>
        <v>8.8736842105263154</v>
      </c>
      <c r="H3" s="65" t="s">
        <v>38</v>
      </c>
      <c r="I3" s="60" t="s">
        <v>39</v>
      </c>
      <c r="J3" s="61" t="s">
        <v>40</v>
      </c>
    </row>
    <row r="4" spans="1:10" ht="60" customHeight="1" x14ac:dyDescent="0.25">
      <c r="A4" s="53">
        <v>2</v>
      </c>
      <c r="B4" s="54" t="s">
        <v>41</v>
      </c>
      <c r="C4" s="55" t="s">
        <v>42</v>
      </c>
      <c r="D4" s="56" t="s">
        <v>37</v>
      </c>
      <c r="E4" s="57">
        <v>54.7</v>
      </c>
      <c r="F4" s="58">
        <v>80</v>
      </c>
      <c r="G4" s="59">
        <f t="shared" si="0"/>
        <v>6.8375000000000004</v>
      </c>
      <c r="H4" s="65" t="s">
        <v>43</v>
      </c>
      <c r="I4" s="60" t="s">
        <v>39</v>
      </c>
      <c r="J4" s="61" t="s">
        <v>40</v>
      </c>
    </row>
    <row r="5" spans="1:10" ht="60" customHeight="1" x14ac:dyDescent="0.25">
      <c r="A5" s="53">
        <v>3</v>
      </c>
      <c r="B5" s="54" t="s">
        <v>44</v>
      </c>
      <c r="C5" s="55" t="s">
        <v>45</v>
      </c>
      <c r="D5" s="56" t="s">
        <v>37</v>
      </c>
      <c r="E5" s="57">
        <v>53.94</v>
      </c>
      <c r="F5" s="58">
        <v>70</v>
      </c>
      <c r="G5" s="59">
        <f t="shared" si="0"/>
        <v>7.7057142857142855</v>
      </c>
      <c r="H5" s="65" t="s">
        <v>46</v>
      </c>
      <c r="I5" s="60" t="s">
        <v>47</v>
      </c>
      <c r="J5" s="61" t="s">
        <v>40</v>
      </c>
    </row>
    <row r="6" spans="1:10" ht="60" customHeight="1" x14ac:dyDescent="0.25">
      <c r="A6" s="53">
        <v>4</v>
      </c>
      <c r="B6" s="54" t="s">
        <v>48</v>
      </c>
      <c r="C6" s="55" t="s">
        <v>49</v>
      </c>
      <c r="D6" s="56" t="s">
        <v>37</v>
      </c>
      <c r="E6" s="57">
        <v>85.3</v>
      </c>
      <c r="F6" s="58">
        <v>100</v>
      </c>
      <c r="G6" s="59">
        <f t="shared" si="0"/>
        <v>8.5299999999999994</v>
      </c>
      <c r="H6" s="65" t="s">
        <v>50</v>
      </c>
      <c r="I6" s="60" t="s">
        <v>39</v>
      </c>
      <c r="J6" s="61" t="s">
        <v>40</v>
      </c>
    </row>
    <row r="7" spans="1:10" ht="60" customHeight="1" x14ac:dyDescent="0.25">
      <c r="A7" s="53">
        <v>5</v>
      </c>
      <c r="B7" s="54" t="s">
        <v>51</v>
      </c>
      <c r="C7" s="55" t="s">
        <v>52</v>
      </c>
      <c r="D7" s="76" t="s">
        <v>53</v>
      </c>
      <c r="E7" s="57">
        <v>3.4</v>
      </c>
      <c r="F7" s="58">
        <v>2</v>
      </c>
      <c r="G7" s="59">
        <f t="shared" si="0"/>
        <v>5.882352941176471</v>
      </c>
      <c r="H7" s="65" t="s">
        <v>54</v>
      </c>
      <c r="I7" s="60" t="s">
        <v>55</v>
      </c>
      <c r="J7" s="61" t="s">
        <v>56</v>
      </c>
    </row>
    <row r="8" spans="1:10" ht="60" customHeight="1" x14ac:dyDescent="0.25">
      <c r="A8" s="53">
        <v>6</v>
      </c>
      <c r="B8" s="54" t="s">
        <v>57</v>
      </c>
      <c r="C8" s="55" t="s">
        <v>58</v>
      </c>
      <c r="D8" s="56" t="s">
        <v>37</v>
      </c>
      <c r="E8" s="57">
        <v>13.4</v>
      </c>
      <c r="F8" s="58">
        <v>40</v>
      </c>
      <c r="G8" s="59">
        <f t="shared" si="0"/>
        <v>3.35</v>
      </c>
      <c r="H8" s="65" t="s">
        <v>59</v>
      </c>
      <c r="I8" s="60" t="s">
        <v>60</v>
      </c>
      <c r="J8" s="61" t="s">
        <v>61</v>
      </c>
    </row>
    <row r="9" spans="1:10" ht="60" customHeight="1" x14ac:dyDescent="0.25">
      <c r="A9" s="53">
        <v>7</v>
      </c>
      <c r="B9" s="54" t="s">
        <v>62</v>
      </c>
      <c r="C9" s="55" t="s">
        <v>63</v>
      </c>
      <c r="D9" s="76" t="s">
        <v>53</v>
      </c>
      <c r="E9" s="57">
        <v>15</v>
      </c>
      <c r="F9" s="58">
        <v>8</v>
      </c>
      <c r="G9" s="59">
        <f t="shared" si="0"/>
        <v>5.333333333333333</v>
      </c>
      <c r="H9" s="65" t="s">
        <v>64</v>
      </c>
      <c r="I9" s="60" t="s">
        <v>65</v>
      </c>
      <c r="J9" s="61">
        <v>2022</v>
      </c>
    </row>
    <row r="10" spans="1:10" ht="60" customHeight="1" x14ac:dyDescent="0.25">
      <c r="A10" s="53">
        <v>8</v>
      </c>
      <c r="B10" s="54" t="s">
        <v>66</v>
      </c>
      <c r="C10" s="55" t="s">
        <v>67</v>
      </c>
      <c r="D10" s="56" t="s">
        <v>37</v>
      </c>
      <c r="E10" s="57">
        <v>62.5</v>
      </c>
      <c r="F10" s="58">
        <v>50</v>
      </c>
      <c r="G10" s="59">
        <f t="shared" si="0"/>
        <v>10</v>
      </c>
      <c r="H10" s="65" t="s">
        <v>68</v>
      </c>
      <c r="I10" s="62" t="s">
        <v>39</v>
      </c>
      <c r="J10" s="61" t="s">
        <v>40</v>
      </c>
    </row>
    <row r="11" spans="1:10" ht="60" customHeight="1" x14ac:dyDescent="0.25">
      <c r="A11" s="53">
        <v>9</v>
      </c>
      <c r="B11" s="54" t="s">
        <v>69</v>
      </c>
      <c r="C11" s="55" t="s">
        <v>70</v>
      </c>
      <c r="D11" s="56" t="s">
        <v>37</v>
      </c>
      <c r="E11" s="57">
        <v>45</v>
      </c>
      <c r="F11" s="58">
        <v>65</v>
      </c>
      <c r="G11" s="59">
        <f t="shared" si="0"/>
        <v>6.9230769230769234</v>
      </c>
      <c r="H11" s="65" t="s">
        <v>71</v>
      </c>
      <c r="I11" s="60" t="s">
        <v>72</v>
      </c>
      <c r="J11" s="61" t="s">
        <v>73</v>
      </c>
    </row>
    <row r="12" spans="1:10" ht="60" customHeight="1" x14ac:dyDescent="0.25">
      <c r="A12" s="53">
        <v>10</v>
      </c>
      <c r="B12" s="54" t="s">
        <v>74</v>
      </c>
      <c r="C12" s="55" t="s">
        <v>75</v>
      </c>
      <c r="D12" s="56" t="s">
        <v>37</v>
      </c>
      <c r="E12" s="57">
        <v>9</v>
      </c>
      <c r="F12" s="58">
        <v>20</v>
      </c>
      <c r="G12" s="59">
        <f t="shared" si="0"/>
        <v>4.5</v>
      </c>
      <c r="H12" s="65" t="s">
        <v>76</v>
      </c>
      <c r="I12" s="60" t="s">
        <v>77</v>
      </c>
      <c r="J12" s="61" t="s">
        <v>78</v>
      </c>
    </row>
    <row r="13" spans="1:10" ht="60" customHeight="1" x14ac:dyDescent="0.25">
      <c r="A13" s="53">
        <v>11</v>
      </c>
      <c r="B13" s="54" t="s">
        <v>79</v>
      </c>
      <c r="C13" s="55" t="s">
        <v>80</v>
      </c>
      <c r="D13" s="56" t="s">
        <v>37</v>
      </c>
      <c r="E13" s="57">
        <v>0</v>
      </c>
      <c r="F13" s="58">
        <v>1</v>
      </c>
      <c r="G13" s="59">
        <f t="shared" si="0"/>
        <v>0</v>
      </c>
      <c r="H13" s="65" t="s">
        <v>81</v>
      </c>
      <c r="I13" s="60" t="s">
        <v>82</v>
      </c>
      <c r="J13" s="61" t="s">
        <v>83</v>
      </c>
    </row>
    <row r="14" spans="1:10" ht="60" customHeight="1" x14ac:dyDescent="0.25">
      <c r="A14" s="53">
        <v>12</v>
      </c>
      <c r="B14" s="54" t="s">
        <v>84</v>
      </c>
      <c r="C14" s="55" t="s">
        <v>85</v>
      </c>
      <c r="D14" s="56" t="s">
        <v>37</v>
      </c>
      <c r="E14" s="57">
        <v>73</v>
      </c>
      <c r="F14" s="58">
        <v>90</v>
      </c>
      <c r="G14" s="59">
        <f>IF(E14="","–",IF(D14="Negativo ↓",MIN(10,MAX(0,IFERROR(F14/E14*10,0))),MIN(10,MAX(0,IFERROR(E14/F14*10,0)))))</f>
        <v>8.1111111111111107</v>
      </c>
      <c r="H14" s="65" t="s">
        <v>86</v>
      </c>
      <c r="I14" s="60" t="s">
        <v>87</v>
      </c>
      <c r="J14" s="61">
        <v>2022</v>
      </c>
    </row>
    <row r="15" spans="1:10" ht="60" customHeight="1" x14ac:dyDescent="0.25">
      <c r="A15" s="53">
        <v>13</v>
      </c>
      <c r="B15" s="67" t="s">
        <v>88</v>
      </c>
      <c r="C15" s="66" t="s">
        <v>89</v>
      </c>
      <c r="D15" s="77" t="s">
        <v>53</v>
      </c>
      <c r="E15" s="64">
        <v>20.5</v>
      </c>
      <c r="F15" s="50">
        <v>10</v>
      </c>
      <c r="G15" s="59">
        <f>IF(E15="","–",IF(D15="Negativo ↓",MIN(10,MAX(0,IFERROR(F15/E15*10,0))),MIN(10,MAX(0,IFERROR(E15/F15*10,0)))))</f>
        <v>4.8780487804878048</v>
      </c>
      <c r="H15" s="65" t="s">
        <v>90</v>
      </c>
      <c r="I15" s="63" t="s">
        <v>91</v>
      </c>
      <c r="J15" s="61" t="s">
        <v>61</v>
      </c>
    </row>
    <row r="16" spans="1:10" ht="60" customHeight="1" x14ac:dyDescent="0.25">
      <c r="A16" s="116" t="s">
        <v>92</v>
      </c>
      <c r="B16" s="117"/>
      <c r="C16" s="117"/>
      <c r="D16" s="117"/>
      <c r="E16" s="117"/>
      <c r="F16" s="118"/>
      <c r="G16" s="51">
        <f>IFERROR(AVERAGEIF(G3:G15,"&lt;&gt;–"),0)</f>
        <v>6.2249862758020189</v>
      </c>
      <c r="H16" s="48"/>
      <c r="I16" s="47"/>
      <c r="J16" s="49"/>
    </row>
  </sheetData>
  <mergeCells count="2">
    <mergeCell ref="A16:F16"/>
    <mergeCell ref="A1:J1"/>
  </mergeCells>
  <hyperlinks>
    <hyperlink ref="I3" r:id="rId1" xr:uid="{00000000-0004-0000-0100-000000000000}"/>
    <hyperlink ref="I4" r:id="rId2" xr:uid="{00000000-0004-0000-0100-000001000000}"/>
    <hyperlink ref="I5" r:id="rId3" xr:uid="{00000000-0004-0000-0100-000002000000}"/>
    <hyperlink ref="I6" r:id="rId4" xr:uid="{00000000-0004-0000-0100-000003000000}"/>
    <hyperlink ref="I7" r:id="rId5" xr:uid="{00000000-0004-0000-0100-000004000000}"/>
    <hyperlink ref="I8" r:id="rId6" xr:uid="{00000000-0004-0000-0100-000005000000}"/>
    <hyperlink ref="I11" r:id="rId7" xr:uid="{00000000-0004-0000-0100-000006000000}"/>
    <hyperlink ref="I12" r:id="rId8" xr:uid="{00000000-0004-0000-0100-000007000000}"/>
    <hyperlink ref="I13" r:id="rId9" xr:uid="{00000000-0004-0000-0100-000008000000}"/>
  </hyperlink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showGridLines="0" topLeftCell="A7" workbookViewId="0">
      <selection activeCell="D12" sqref="D12"/>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2.1" customHeight="1" x14ac:dyDescent="0.25">
      <c r="A1" s="120" t="s">
        <v>93</v>
      </c>
      <c r="B1" s="112"/>
      <c r="C1" s="112"/>
      <c r="D1" s="112"/>
      <c r="E1" s="112"/>
      <c r="F1" s="112"/>
      <c r="G1" s="112"/>
      <c r="H1" s="112"/>
      <c r="I1" s="112"/>
      <c r="J1" s="112"/>
    </row>
    <row r="2" spans="1:10" ht="30" customHeight="1" x14ac:dyDescent="0.25">
      <c r="A2" s="70" t="s">
        <v>25</v>
      </c>
      <c r="B2" s="70" t="s">
        <v>26</v>
      </c>
      <c r="C2" s="70" t="s">
        <v>27</v>
      </c>
      <c r="D2" s="70" t="s">
        <v>28</v>
      </c>
      <c r="E2" s="70" t="s">
        <v>29</v>
      </c>
      <c r="F2" s="70" t="s">
        <v>30</v>
      </c>
      <c r="G2" s="70" t="s">
        <v>31</v>
      </c>
      <c r="H2" s="83" t="s">
        <v>32</v>
      </c>
      <c r="I2" s="70" t="s">
        <v>33</v>
      </c>
      <c r="J2" s="70" t="s">
        <v>34</v>
      </c>
    </row>
    <row r="3" spans="1:10" ht="60" customHeight="1" x14ac:dyDescent="0.25">
      <c r="A3" s="53">
        <v>1</v>
      </c>
      <c r="B3" s="54" t="s">
        <v>94</v>
      </c>
      <c r="C3" s="55" t="s">
        <v>95</v>
      </c>
      <c r="D3" s="76" t="s">
        <v>53</v>
      </c>
      <c r="E3" s="57">
        <v>0.46100000000000002</v>
      </c>
      <c r="F3" s="58">
        <v>0.35</v>
      </c>
      <c r="G3" s="59">
        <f t="shared" ref="G3:G15" si="0">IF(E3="","–",IF(D3="Negativo ↓",MIN(10,MAX(0,IFERROR(F3/E3*10,0))),MIN(10,MAX(0,IFERROR(E3/F3*10,0)))))</f>
        <v>7.592190889370932</v>
      </c>
      <c r="H3" s="65" t="s">
        <v>96</v>
      </c>
      <c r="I3" s="79" t="s">
        <v>97</v>
      </c>
      <c r="J3" s="61" t="s">
        <v>78</v>
      </c>
    </row>
    <row r="4" spans="1:10" ht="60" customHeight="1" x14ac:dyDescent="0.25">
      <c r="A4" s="71">
        <v>2</v>
      </c>
      <c r="B4" s="72" t="s">
        <v>98</v>
      </c>
      <c r="C4" s="73" t="s">
        <v>99</v>
      </c>
      <c r="D4" s="76" t="s">
        <v>53</v>
      </c>
      <c r="E4" s="57">
        <v>62.8</v>
      </c>
      <c r="F4" s="74">
        <v>35</v>
      </c>
      <c r="G4" s="75">
        <f t="shared" si="0"/>
        <v>5.5732484076433124</v>
      </c>
      <c r="H4" s="65" t="s">
        <v>100</v>
      </c>
      <c r="I4" s="79" t="s">
        <v>101</v>
      </c>
      <c r="J4" s="61" t="s">
        <v>102</v>
      </c>
    </row>
    <row r="5" spans="1:10" ht="60" customHeight="1" x14ac:dyDescent="0.25">
      <c r="A5" s="53">
        <v>3</v>
      </c>
      <c r="B5" s="54" t="s">
        <v>103</v>
      </c>
      <c r="C5" s="55" t="s">
        <v>104</v>
      </c>
      <c r="D5" s="76" t="s">
        <v>53</v>
      </c>
      <c r="E5" s="57">
        <v>15.1</v>
      </c>
      <c r="F5" s="58">
        <v>8</v>
      </c>
      <c r="G5" s="59">
        <f t="shared" si="0"/>
        <v>5.298013245033113</v>
      </c>
      <c r="H5" s="65" t="s">
        <v>105</v>
      </c>
      <c r="I5" s="79" t="s">
        <v>106</v>
      </c>
      <c r="J5" s="61">
        <v>2024</v>
      </c>
    </row>
    <row r="6" spans="1:10" ht="60" customHeight="1" x14ac:dyDescent="0.25">
      <c r="A6" s="71">
        <v>4</v>
      </c>
      <c r="B6" s="72" t="s">
        <v>107</v>
      </c>
      <c r="C6" s="73" t="s">
        <v>108</v>
      </c>
      <c r="D6" s="56" t="s">
        <v>37</v>
      </c>
      <c r="E6" s="57">
        <v>43.4</v>
      </c>
      <c r="F6" s="74">
        <v>60</v>
      </c>
      <c r="G6" s="75">
        <f t="shared" si="0"/>
        <v>7.2333333333333325</v>
      </c>
      <c r="H6" s="65" t="s">
        <v>109</v>
      </c>
      <c r="I6" s="79" t="s">
        <v>110</v>
      </c>
      <c r="J6" s="61" t="s">
        <v>61</v>
      </c>
    </row>
    <row r="7" spans="1:10" ht="60" customHeight="1" x14ac:dyDescent="0.25">
      <c r="A7" s="53">
        <v>5</v>
      </c>
      <c r="B7" s="54" t="s">
        <v>111</v>
      </c>
      <c r="C7" s="55" t="s">
        <v>112</v>
      </c>
      <c r="D7" s="76" t="s">
        <v>53</v>
      </c>
      <c r="E7" s="57">
        <v>33.799999999999997</v>
      </c>
      <c r="F7" s="58">
        <v>10</v>
      </c>
      <c r="G7" s="59">
        <f t="shared" si="0"/>
        <v>2.9585798816568047</v>
      </c>
      <c r="H7" s="65" t="s">
        <v>113</v>
      </c>
      <c r="I7" s="79" t="s">
        <v>114</v>
      </c>
      <c r="J7" s="61" t="s">
        <v>61</v>
      </c>
    </row>
    <row r="8" spans="1:10" ht="60" customHeight="1" x14ac:dyDescent="0.25">
      <c r="A8" s="71">
        <v>6</v>
      </c>
      <c r="B8" s="72" t="s">
        <v>115</v>
      </c>
      <c r="C8" s="73" t="s">
        <v>116</v>
      </c>
      <c r="D8" s="76" t="s">
        <v>53</v>
      </c>
      <c r="E8" s="57">
        <v>210.8</v>
      </c>
      <c r="F8" s="74">
        <v>80</v>
      </c>
      <c r="G8" s="75">
        <f t="shared" si="0"/>
        <v>3.7950664136622385</v>
      </c>
      <c r="H8" s="65" t="s">
        <v>117</v>
      </c>
      <c r="I8" s="79" t="s">
        <v>65</v>
      </c>
      <c r="J8" s="61" t="s">
        <v>40</v>
      </c>
    </row>
    <row r="9" spans="1:10" ht="60" customHeight="1" x14ac:dyDescent="0.25">
      <c r="A9" s="53">
        <v>7</v>
      </c>
      <c r="B9" s="54" t="s">
        <v>118</v>
      </c>
      <c r="C9" s="55" t="s">
        <v>119</v>
      </c>
      <c r="D9" s="76" t="s">
        <v>53</v>
      </c>
      <c r="E9" s="57">
        <v>5.0599999999999996</v>
      </c>
      <c r="F9" s="58">
        <v>3</v>
      </c>
      <c r="G9" s="59">
        <f t="shared" si="0"/>
        <v>5.9288537549407119</v>
      </c>
      <c r="H9" s="65" t="s">
        <v>120</v>
      </c>
      <c r="I9" s="79" t="s">
        <v>121</v>
      </c>
      <c r="J9" s="61" t="s">
        <v>78</v>
      </c>
    </row>
    <row r="10" spans="1:10" ht="60" customHeight="1" x14ac:dyDescent="0.25">
      <c r="A10" s="71">
        <v>8</v>
      </c>
      <c r="B10" s="72" t="s">
        <v>122</v>
      </c>
      <c r="C10" s="73" t="s">
        <v>123</v>
      </c>
      <c r="D10" s="76" t="s">
        <v>53</v>
      </c>
      <c r="E10" s="57">
        <v>9.3000000000000007</v>
      </c>
      <c r="F10" s="74">
        <v>6</v>
      </c>
      <c r="G10" s="75">
        <f t="shared" si="0"/>
        <v>6.4516129032258061</v>
      </c>
      <c r="H10" s="65" t="s">
        <v>124</v>
      </c>
      <c r="I10" s="79" t="s">
        <v>125</v>
      </c>
      <c r="J10" s="61" t="s">
        <v>126</v>
      </c>
    </row>
    <row r="11" spans="1:10" ht="60" customHeight="1" x14ac:dyDescent="0.25">
      <c r="A11" s="53">
        <v>9</v>
      </c>
      <c r="B11" s="54" t="s">
        <v>62</v>
      </c>
      <c r="C11" s="55" t="s">
        <v>127</v>
      </c>
      <c r="D11" s="76" t="s">
        <v>53</v>
      </c>
      <c r="E11" s="57">
        <v>10.82</v>
      </c>
      <c r="F11" s="58">
        <v>8</v>
      </c>
      <c r="G11" s="59">
        <f t="shared" si="0"/>
        <v>7.3937153419593349</v>
      </c>
      <c r="H11" s="65" t="s">
        <v>128</v>
      </c>
      <c r="I11" s="79" t="s">
        <v>129</v>
      </c>
      <c r="J11" s="61" t="s">
        <v>61</v>
      </c>
    </row>
    <row r="12" spans="1:10" ht="60" customHeight="1" x14ac:dyDescent="0.25">
      <c r="A12" s="71">
        <v>10</v>
      </c>
      <c r="B12" s="72" t="s">
        <v>130</v>
      </c>
      <c r="C12" s="73" t="s">
        <v>131</v>
      </c>
      <c r="D12" s="56" t="s">
        <v>37</v>
      </c>
      <c r="E12" s="57">
        <v>35.1</v>
      </c>
      <c r="F12" s="74">
        <v>100</v>
      </c>
      <c r="G12" s="75">
        <f t="shared" si="0"/>
        <v>3.5100000000000002</v>
      </c>
      <c r="H12" s="65" t="s">
        <v>132</v>
      </c>
      <c r="I12" s="79" t="s">
        <v>133</v>
      </c>
      <c r="J12" s="61" t="s">
        <v>78</v>
      </c>
    </row>
    <row r="13" spans="1:10" ht="60" customHeight="1" x14ac:dyDescent="0.25">
      <c r="A13" s="53">
        <v>11</v>
      </c>
      <c r="B13" s="54" t="s">
        <v>134</v>
      </c>
      <c r="C13" s="55" t="s">
        <v>135</v>
      </c>
      <c r="D13" s="56" t="s">
        <v>37</v>
      </c>
      <c r="E13" s="57">
        <v>100</v>
      </c>
      <c r="F13" s="58">
        <v>100</v>
      </c>
      <c r="G13" s="59">
        <f t="shared" si="0"/>
        <v>10</v>
      </c>
      <c r="H13" s="65" t="s">
        <v>136</v>
      </c>
      <c r="I13" s="79" t="s">
        <v>137</v>
      </c>
      <c r="J13" s="61" t="s">
        <v>83</v>
      </c>
    </row>
    <row r="14" spans="1:10" ht="60" customHeight="1" x14ac:dyDescent="0.25">
      <c r="A14" s="71">
        <v>12</v>
      </c>
      <c r="B14" s="72" t="s">
        <v>138</v>
      </c>
      <c r="C14" s="73" t="s">
        <v>139</v>
      </c>
      <c r="D14" s="76" t="s">
        <v>53</v>
      </c>
      <c r="E14" s="57">
        <v>37.700000000000003</v>
      </c>
      <c r="F14" s="74">
        <v>20</v>
      </c>
      <c r="G14" s="75">
        <f t="shared" si="0"/>
        <v>5.3050397877984077</v>
      </c>
      <c r="H14" s="65" t="s">
        <v>140</v>
      </c>
      <c r="I14" s="79" t="s">
        <v>97</v>
      </c>
      <c r="J14" s="61">
        <v>2024</v>
      </c>
    </row>
    <row r="15" spans="1:10" ht="60" customHeight="1" x14ac:dyDescent="0.25">
      <c r="A15" s="53">
        <v>13</v>
      </c>
      <c r="B15" s="54" t="s">
        <v>141</v>
      </c>
      <c r="C15" s="55" t="s">
        <v>142</v>
      </c>
      <c r="D15" s="76" t="s">
        <v>53</v>
      </c>
      <c r="E15" s="57">
        <v>18.52</v>
      </c>
      <c r="F15" s="58">
        <v>12</v>
      </c>
      <c r="G15" s="59">
        <f t="shared" si="0"/>
        <v>6.4794816414686824</v>
      </c>
      <c r="H15" s="65" t="s">
        <v>143</v>
      </c>
      <c r="I15" s="81" t="s">
        <v>144</v>
      </c>
      <c r="J15" s="61" t="s">
        <v>102</v>
      </c>
    </row>
    <row r="16" spans="1:10" ht="60" customHeight="1" x14ac:dyDescent="0.25">
      <c r="A16" s="116" t="s">
        <v>92</v>
      </c>
      <c r="B16" s="117"/>
      <c r="C16" s="117"/>
      <c r="D16" s="117"/>
      <c r="E16" s="117"/>
      <c r="F16" s="118"/>
      <c r="G16" s="78">
        <f>IFERROR(AVERAGEIF(G3:G15,"&lt;&gt;–"),0)</f>
        <v>5.9630104307763592</v>
      </c>
      <c r="H16" s="68"/>
      <c r="I16" s="80"/>
      <c r="J16" s="69"/>
    </row>
  </sheetData>
  <mergeCells count="2">
    <mergeCell ref="A16:F16"/>
    <mergeCell ref="A1:J1"/>
  </mergeCells>
  <hyperlinks>
    <hyperlink ref="I5" r:id="rId1" xr:uid="{00000000-0004-0000-0200-000000000000}"/>
    <hyperlink ref="I15" r:id="rId2" xr:uid="{00000000-0004-0000-0200-00000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showGridLines="0" topLeftCell="A4" workbookViewId="0">
      <selection activeCell="C5" sqref="C5"/>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thickBot="1" x14ac:dyDescent="0.3">
      <c r="A1" s="121" t="s">
        <v>145</v>
      </c>
      <c r="B1" s="112"/>
      <c r="C1" s="112"/>
      <c r="D1" s="112"/>
      <c r="E1" s="112"/>
      <c r="F1" s="112"/>
      <c r="G1" s="112"/>
      <c r="H1" s="112"/>
      <c r="I1" s="112"/>
      <c r="J1" s="112"/>
    </row>
    <row r="2" spans="1:10" ht="30" customHeight="1" x14ac:dyDescent="0.25">
      <c r="A2" s="99" t="s">
        <v>25</v>
      </c>
      <c r="B2" s="100" t="s">
        <v>26</v>
      </c>
      <c r="C2" s="100" t="s">
        <v>27</v>
      </c>
      <c r="D2" s="100" t="s">
        <v>28</v>
      </c>
      <c r="E2" s="100" t="s">
        <v>29</v>
      </c>
      <c r="F2" s="100" t="s">
        <v>30</v>
      </c>
      <c r="G2" s="100" t="s">
        <v>31</v>
      </c>
      <c r="H2" s="100" t="s">
        <v>146</v>
      </c>
      <c r="I2" s="100" t="s">
        <v>33</v>
      </c>
      <c r="J2" s="101" t="s">
        <v>34</v>
      </c>
    </row>
    <row r="3" spans="1:10" ht="104.25" customHeight="1" x14ac:dyDescent="0.25">
      <c r="A3" s="53">
        <v>1</v>
      </c>
      <c r="B3" s="54" t="s">
        <v>147</v>
      </c>
      <c r="C3" s="55" t="s">
        <v>148</v>
      </c>
      <c r="D3" s="104" t="s">
        <v>37</v>
      </c>
      <c r="E3" s="57">
        <v>3021</v>
      </c>
      <c r="F3" s="58">
        <v>5000</v>
      </c>
      <c r="G3" s="59">
        <f t="shared" ref="G3:G8" si="0">IF(E3="","–",IF(D3="Negativo ↓",MIN(10,MAX(0,IFERROR(F3/E3*10,0))),MIN(10,MAX(0,IFERROR(E3/F3*10,0)))))</f>
        <v>6.0419999999999998</v>
      </c>
      <c r="H3" s="105" t="s">
        <v>149</v>
      </c>
      <c r="I3" s="106" t="s">
        <v>150</v>
      </c>
      <c r="J3" s="61" t="s">
        <v>151</v>
      </c>
    </row>
    <row r="4" spans="1:10" ht="87.75" customHeight="1" x14ac:dyDescent="0.25">
      <c r="A4" s="71">
        <v>2</v>
      </c>
      <c r="B4" s="72" t="s">
        <v>152</v>
      </c>
      <c r="C4" s="73" t="s">
        <v>153</v>
      </c>
      <c r="D4" s="104" t="s">
        <v>37</v>
      </c>
      <c r="E4" s="57">
        <v>6.3</v>
      </c>
      <c r="F4" s="74">
        <v>8</v>
      </c>
      <c r="G4" s="75">
        <f t="shared" si="0"/>
        <v>7.875</v>
      </c>
      <c r="H4" s="105" t="s">
        <v>154</v>
      </c>
      <c r="I4" s="106" t="s">
        <v>155</v>
      </c>
      <c r="J4" s="61" t="s">
        <v>156</v>
      </c>
    </row>
    <row r="5" spans="1:10" ht="94.5" customHeight="1" x14ac:dyDescent="0.25">
      <c r="A5" s="53">
        <v>3</v>
      </c>
      <c r="B5" s="54" t="s">
        <v>157</v>
      </c>
      <c r="C5" s="55" t="s">
        <v>158</v>
      </c>
      <c r="D5" s="104" t="s">
        <v>37</v>
      </c>
      <c r="E5" s="57">
        <v>340</v>
      </c>
      <c r="F5" s="58">
        <v>600</v>
      </c>
      <c r="G5" s="59">
        <f t="shared" si="0"/>
        <v>5.6666666666666661</v>
      </c>
      <c r="H5" s="105" t="s">
        <v>159</v>
      </c>
      <c r="I5" s="106" t="s">
        <v>160</v>
      </c>
      <c r="J5" s="61" t="s">
        <v>78</v>
      </c>
    </row>
    <row r="6" spans="1:10" ht="87.75" customHeight="1" x14ac:dyDescent="0.25">
      <c r="A6" s="71">
        <v>4</v>
      </c>
      <c r="B6" s="72" t="s">
        <v>161</v>
      </c>
      <c r="C6" s="73" t="s">
        <v>162</v>
      </c>
      <c r="D6" s="104" t="s">
        <v>53</v>
      </c>
      <c r="E6" s="57">
        <v>11</v>
      </c>
      <c r="F6" s="74">
        <v>3</v>
      </c>
      <c r="G6" s="75">
        <f t="shared" si="0"/>
        <v>2.7272727272727271</v>
      </c>
      <c r="H6" s="105" t="s">
        <v>163</v>
      </c>
      <c r="I6" s="106" t="s">
        <v>164</v>
      </c>
      <c r="J6" s="61" t="s">
        <v>40</v>
      </c>
    </row>
    <row r="7" spans="1:10" ht="105" customHeight="1" x14ac:dyDescent="0.25">
      <c r="A7" s="53">
        <v>5</v>
      </c>
      <c r="B7" s="54" t="s">
        <v>165</v>
      </c>
      <c r="C7" s="55" t="s">
        <v>166</v>
      </c>
      <c r="D7" s="104" t="s">
        <v>37</v>
      </c>
      <c r="E7" s="57">
        <v>90</v>
      </c>
      <c r="F7" s="58">
        <v>300</v>
      </c>
      <c r="G7" s="59">
        <f t="shared" si="0"/>
        <v>3</v>
      </c>
      <c r="H7" s="105" t="s">
        <v>167</v>
      </c>
      <c r="I7" s="106" t="s">
        <v>168</v>
      </c>
      <c r="J7" s="61" t="s">
        <v>61</v>
      </c>
    </row>
    <row r="8" spans="1:10" ht="77.25" customHeight="1" x14ac:dyDescent="0.25">
      <c r="A8" s="71">
        <v>6</v>
      </c>
      <c r="B8" s="72" t="s">
        <v>169</v>
      </c>
      <c r="C8" s="73" t="s">
        <v>170</v>
      </c>
      <c r="D8" s="104" t="s">
        <v>37</v>
      </c>
      <c r="E8" s="57">
        <v>8057</v>
      </c>
      <c r="F8" s="74">
        <v>12000</v>
      </c>
      <c r="G8" s="75">
        <f t="shared" si="0"/>
        <v>6.7141666666666664</v>
      </c>
      <c r="H8" s="105" t="s">
        <v>171</v>
      </c>
      <c r="I8" s="106" t="s">
        <v>172</v>
      </c>
      <c r="J8" s="61" t="s">
        <v>61</v>
      </c>
    </row>
    <row r="9" spans="1:10" ht="61.5" customHeight="1" thickBot="1" x14ac:dyDescent="0.3">
      <c r="A9" s="116" t="s">
        <v>92</v>
      </c>
      <c r="B9" s="117"/>
      <c r="C9" s="117"/>
      <c r="D9" s="117"/>
      <c r="E9" s="117"/>
      <c r="F9" s="118"/>
      <c r="G9" s="102">
        <f>IFERROR(AVERAGEIF(G3:G8,"&lt;&gt;–"),0)</f>
        <v>5.3375176767676757</v>
      </c>
      <c r="H9" s="68"/>
      <c r="I9" s="103"/>
      <c r="J9" s="69"/>
    </row>
  </sheetData>
  <mergeCells count="2">
    <mergeCell ref="A1:J1"/>
    <mergeCell ref="A9:F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showGridLines="0" workbookViewId="0">
      <selection activeCell="G10" sqref="G10"/>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2.1" customHeight="1" x14ac:dyDescent="0.25">
      <c r="A1" s="122" t="s">
        <v>173</v>
      </c>
      <c r="B1" s="112"/>
      <c r="C1" s="112"/>
      <c r="D1" s="112"/>
      <c r="E1" s="112"/>
      <c r="F1" s="112"/>
      <c r="G1" s="112"/>
      <c r="H1" s="112"/>
      <c r="I1" s="112"/>
      <c r="J1" s="112"/>
    </row>
    <row r="2" spans="1:10" ht="30" customHeight="1" x14ac:dyDescent="0.25">
      <c r="A2" s="40" t="s">
        <v>25</v>
      </c>
      <c r="B2" s="41" t="s">
        <v>26</v>
      </c>
      <c r="C2" s="41" t="s">
        <v>27</v>
      </c>
      <c r="D2" s="41" t="s">
        <v>28</v>
      </c>
      <c r="E2" s="41" t="s">
        <v>29</v>
      </c>
      <c r="F2" s="41" t="s">
        <v>30</v>
      </c>
      <c r="G2" s="41" t="s">
        <v>31</v>
      </c>
      <c r="H2" s="41" t="s">
        <v>146</v>
      </c>
      <c r="I2" s="41" t="s">
        <v>33</v>
      </c>
      <c r="J2" s="42" t="s">
        <v>34</v>
      </c>
    </row>
    <row r="3" spans="1:10" ht="60" customHeight="1" x14ac:dyDescent="0.25">
      <c r="A3" s="91">
        <v>1</v>
      </c>
      <c r="B3" s="92" t="s">
        <v>174</v>
      </c>
      <c r="C3" s="93" t="s">
        <v>175</v>
      </c>
      <c r="D3" s="89" t="s">
        <v>37</v>
      </c>
      <c r="E3" s="95">
        <v>3.9</v>
      </c>
      <c r="F3" s="96">
        <v>5</v>
      </c>
      <c r="G3" s="32">
        <f t="shared" ref="G3:G9" si="0">IF(E3="","–",IF(D3="Negativo ↓",MIN(10,MAX(0,IFERROR(F3/E3*10,0))),MIN(10,MAX(0,IFERROR(E3/F3*10,0)))))</f>
        <v>7.8000000000000007</v>
      </c>
      <c r="H3" s="84" t="s">
        <v>176</v>
      </c>
      <c r="I3" s="85" t="s">
        <v>177</v>
      </c>
      <c r="J3" s="36" t="s">
        <v>73</v>
      </c>
    </row>
    <row r="4" spans="1:10" ht="60" customHeight="1" x14ac:dyDescent="0.25">
      <c r="A4" s="34">
        <v>2</v>
      </c>
      <c r="B4" s="37" t="s">
        <v>178</v>
      </c>
      <c r="C4" s="38" t="s">
        <v>179</v>
      </c>
      <c r="D4" s="89" t="s">
        <v>37</v>
      </c>
      <c r="E4" s="95">
        <v>91</v>
      </c>
      <c r="F4" s="39">
        <v>200</v>
      </c>
      <c r="G4" s="35">
        <f t="shared" si="0"/>
        <v>4.55</v>
      </c>
      <c r="H4" s="84" t="s">
        <v>180</v>
      </c>
      <c r="I4" s="85" t="s">
        <v>181</v>
      </c>
      <c r="J4" s="33" t="s">
        <v>83</v>
      </c>
    </row>
    <row r="5" spans="1:10" ht="60" customHeight="1" x14ac:dyDescent="0.25">
      <c r="A5" s="91">
        <v>3</v>
      </c>
      <c r="B5" s="92" t="s">
        <v>182</v>
      </c>
      <c r="C5" s="93" t="s">
        <v>183</v>
      </c>
      <c r="D5" s="89" t="s">
        <v>37</v>
      </c>
      <c r="E5" s="95">
        <v>311</v>
      </c>
      <c r="F5" s="96">
        <v>500</v>
      </c>
      <c r="G5" s="32">
        <f t="shared" si="0"/>
        <v>6.22</v>
      </c>
      <c r="H5" s="84" t="s">
        <v>184</v>
      </c>
      <c r="I5" s="85" t="s">
        <v>185</v>
      </c>
      <c r="J5" s="36" t="s">
        <v>40</v>
      </c>
    </row>
    <row r="6" spans="1:10" ht="60" customHeight="1" x14ac:dyDescent="0.25">
      <c r="A6" s="34">
        <v>4</v>
      </c>
      <c r="B6" s="37" t="s">
        <v>186</v>
      </c>
      <c r="C6" s="38" t="s">
        <v>187</v>
      </c>
      <c r="D6" s="89" t="s">
        <v>37</v>
      </c>
      <c r="E6" s="95">
        <v>32000</v>
      </c>
      <c r="F6" s="39">
        <v>50000</v>
      </c>
      <c r="G6" s="35">
        <f t="shared" si="0"/>
        <v>6.4</v>
      </c>
      <c r="H6" s="84" t="s">
        <v>188</v>
      </c>
      <c r="I6" s="85" t="s">
        <v>189</v>
      </c>
      <c r="J6" s="33" t="s">
        <v>83</v>
      </c>
    </row>
    <row r="7" spans="1:10" ht="60" customHeight="1" x14ac:dyDescent="0.25">
      <c r="A7" s="91">
        <v>5</v>
      </c>
      <c r="B7" s="92" t="s">
        <v>190</v>
      </c>
      <c r="C7" s="93" t="s">
        <v>191</v>
      </c>
      <c r="D7" s="89" t="s">
        <v>37</v>
      </c>
      <c r="E7" s="95">
        <v>76.27</v>
      </c>
      <c r="F7" s="96">
        <v>100</v>
      </c>
      <c r="G7" s="32">
        <f t="shared" si="0"/>
        <v>7.6269999999999989</v>
      </c>
      <c r="H7" s="84" t="s">
        <v>192</v>
      </c>
      <c r="I7" s="85" t="s">
        <v>193</v>
      </c>
      <c r="J7" s="36" t="s">
        <v>73</v>
      </c>
    </row>
    <row r="8" spans="1:10" ht="60" customHeight="1" x14ac:dyDescent="0.25">
      <c r="A8" s="34">
        <v>6</v>
      </c>
      <c r="B8" s="37" t="s">
        <v>194</v>
      </c>
      <c r="C8" s="38" t="s">
        <v>195</v>
      </c>
      <c r="D8" s="89" t="s">
        <v>37</v>
      </c>
      <c r="E8" s="95">
        <v>621</v>
      </c>
      <c r="F8" s="39">
        <v>1000</v>
      </c>
      <c r="G8" s="35">
        <f t="shared" si="0"/>
        <v>6.21</v>
      </c>
      <c r="H8" s="84" t="s">
        <v>196</v>
      </c>
      <c r="I8" s="85" t="s">
        <v>197</v>
      </c>
      <c r="J8" s="33" t="s">
        <v>78</v>
      </c>
    </row>
    <row r="9" spans="1:10" ht="60" customHeight="1" x14ac:dyDescent="0.25">
      <c r="A9" s="91">
        <v>7</v>
      </c>
      <c r="B9" s="92" t="s">
        <v>198</v>
      </c>
      <c r="C9" s="93" t="s">
        <v>199</v>
      </c>
      <c r="D9" s="89" t="s">
        <v>37</v>
      </c>
      <c r="E9" s="95">
        <v>85.66</v>
      </c>
      <c r="F9" s="96">
        <v>95</v>
      </c>
      <c r="G9" s="32">
        <f t="shared" si="0"/>
        <v>9.0168421052631569</v>
      </c>
      <c r="H9" s="84" t="s">
        <v>200</v>
      </c>
      <c r="I9" s="85" t="s">
        <v>201</v>
      </c>
      <c r="J9" s="36" t="s">
        <v>61</v>
      </c>
    </row>
    <row r="10" spans="1:10" ht="60" customHeight="1" x14ac:dyDescent="0.25">
      <c r="A10" s="123" t="s">
        <v>92</v>
      </c>
      <c r="B10" s="124"/>
      <c r="C10" s="124"/>
      <c r="D10" s="124"/>
      <c r="E10" s="124"/>
      <c r="F10" s="125"/>
      <c r="G10" s="86">
        <f>IFERROR(AVERAGEIF(G3:G9,"&lt;&gt;–"),0)</f>
        <v>6.8319774436090217</v>
      </c>
      <c r="H10" s="84"/>
      <c r="I10" s="85"/>
      <c r="J10" s="36"/>
    </row>
  </sheetData>
  <mergeCells count="2">
    <mergeCell ref="A1:J1"/>
    <mergeCell ref="A10:F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
  <sheetViews>
    <sheetView showGridLines="0" workbookViewId="0">
      <selection activeCell="C4" sqref="C4"/>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x14ac:dyDescent="0.25">
      <c r="A1" s="121" t="s">
        <v>202</v>
      </c>
      <c r="B1" s="112"/>
      <c r="C1" s="112"/>
      <c r="D1" s="112"/>
      <c r="E1" s="112"/>
      <c r="F1" s="112"/>
      <c r="G1" s="112"/>
      <c r="H1" s="112"/>
      <c r="I1" s="112"/>
      <c r="J1" s="112"/>
    </row>
    <row r="2" spans="1:10" ht="30" customHeight="1" x14ac:dyDescent="0.25">
      <c r="A2" s="43" t="s">
        <v>25</v>
      </c>
      <c r="B2" s="44" t="s">
        <v>26</v>
      </c>
      <c r="C2" s="44" t="s">
        <v>27</v>
      </c>
      <c r="D2" s="44" t="s">
        <v>28</v>
      </c>
      <c r="E2" s="44" t="s">
        <v>29</v>
      </c>
      <c r="F2" s="44" t="s">
        <v>30</v>
      </c>
      <c r="G2" s="44" t="s">
        <v>31</v>
      </c>
      <c r="H2" s="44" t="s">
        <v>146</v>
      </c>
      <c r="I2" s="44" t="s">
        <v>33</v>
      </c>
      <c r="J2" s="45" t="s">
        <v>34</v>
      </c>
    </row>
    <row r="3" spans="1:10" ht="87.75" customHeight="1" x14ac:dyDescent="0.25">
      <c r="A3" s="91">
        <v>1</v>
      </c>
      <c r="B3" s="92" t="s">
        <v>203</v>
      </c>
      <c r="C3" s="93" t="s">
        <v>204</v>
      </c>
      <c r="D3" s="94" t="s">
        <v>53</v>
      </c>
      <c r="E3" s="95">
        <v>60</v>
      </c>
      <c r="F3" s="96">
        <v>20</v>
      </c>
      <c r="G3" s="32">
        <f t="shared" ref="G3:G13" si="0">IF(E3="","–",IF(D3="Negativo ↓",MIN(10,MAX(0,IFERROR(F3/E3*10,0))),MIN(10,MAX(0,IFERROR(E3/F3*10,0)))))</f>
        <v>3.333333333333333</v>
      </c>
      <c r="H3" s="84" t="s">
        <v>205</v>
      </c>
      <c r="I3" s="87" t="s">
        <v>206</v>
      </c>
      <c r="J3" s="33" t="s">
        <v>78</v>
      </c>
    </row>
    <row r="4" spans="1:10" ht="66" customHeight="1" x14ac:dyDescent="0.25">
      <c r="A4" s="34">
        <v>2</v>
      </c>
      <c r="B4" s="37" t="s">
        <v>207</v>
      </c>
      <c r="C4" s="38" t="s">
        <v>208</v>
      </c>
      <c r="D4" s="94" t="s">
        <v>53</v>
      </c>
      <c r="E4" s="95">
        <v>50</v>
      </c>
      <c r="F4" s="39">
        <v>30</v>
      </c>
      <c r="G4" s="35">
        <f t="shared" si="0"/>
        <v>6</v>
      </c>
      <c r="H4" s="84" t="s">
        <v>209</v>
      </c>
      <c r="I4" s="87" t="s">
        <v>210</v>
      </c>
      <c r="J4" s="33" t="s">
        <v>83</v>
      </c>
    </row>
    <row r="5" spans="1:10" ht="78" customHeight="1" x14ac:dyDescent="0.25">
      <c r="A5" s="91">
        <v>3</v>
      </c>
      <c r="B5" s="92" t="s">
        <v>211</v>
      </c>
      <c r="C5" s="93" t="s">
        <v>212</v>
      </c>
      <c r="D5" s="89" t="s">
        <v>37</v>
      </c>
      <c r="E5" s="95">
        <v>0</v>
      </c>
      <c r="F5" s="96">
        <v>80</v>
      </c>
      <c r="G5" s="32">
        <f t="shared" si="0"/>
        <v>0</v>
      </c>
      <c r="H5" s="84" t="s">
        <v>213</v>
      </c>
      <c r="I5" s="87" t="s">
        <v>214</v>
      </c>
      <c r="J5" s="33" t="s">
        <v>78</v>
      </c>
    </row>
    <row r="6" spans="1:10" ht="74.25" customHeight="1" x14ac:dyDescent="0.25">
      <c r="A6" s="34">
        <v>4</v>
      </c>
      <c r="B6" s="37" t="s">
        <v>215</v>
      </c>
      <c r="C6" s="38" t="s">
        <v>216</v>
      </c>
      <c r="D6" s="89" t="s">
        <v>37</v>
      </c>
      <c r="E6" s="95">
        <v>3</v>
      </c>
      <c r="F6" s="39">
        <v>25</v>
      </c>
      <c r="G6" s="35">
        <f t="shared" si="0"/>
        <v>1.2</v>
      </c>
      <c r="H6" s="84" t="s">
        <v>217</v>
      </c>
      <c r="I6" s="88" t="s">
        <v>218</v>
      </c>
      <c r="J6" s="33" t="s">
        <v>61</v>
      </c>
    </row>
    <row r="7" spans="1:10" ht="75.75" customHeight="1" x14ac:dyDescent="0.25">
      <c r="A7" s="91">
        <v>5</v>
      </c>
      <c r="B7" s="92" t="s">
        <v>219</v>
      </c>
      <c r="C7" s="93" t="s">
        <v>220</v>
      </c>
      <c r="D7" s="94" t="s">
        <v>53</v>
      </c>
      <c r="E7" s="95">
        <v>10</v>
      </c>
      <c r="F7" s="96">
        <v>5</v>
      </c>
      <c r="G7" s="32">
        <f t="shared" si="0"/>
        <v>5</v>
      </c>
      <c r="H7" s="84" t="s">
        <v>221</v>
      </c>
      <c r="I7" s="87" t="s">
        <v>222</v>
      </c>
      <c r="J7" s="33" t="s">
        <v>78</v>
      </c>
    </row>
    <row r="8" spans="1:10" ht="72.75" customHeight="1" x14ac:dyDescent="0.25">
      <c r="A8" s="34">
        <v>6</v>
      </c>
      <c r="B8" s="37" t="s">
        <v>223</v>
      </c>
      <c r="C8" s="38" t="s">
        <v>224</v>
      </c>
      <c r="D8" s="94" t="s">
        <v>53</v>
      </c>
      <c r="E8" s="95">
        <v>333</v>
      </c>
      <c r="F8" s="39">
        <v>200</v>
      </c>
      <c r="G8" s="35">
        <f t="shared" si="0"/>
        <v>6.0060060060060056</v>
      </c>
      <c r="H8" s="84" t="s">
        <v>225</v>
      </c>
      <c r="I8" s="87" t="s">
        <v>206</v>
      </c>
      <c r="J8" s="33" t="s">
        <v>61</v>
      </c>
    </row>
    <row r="9" spans="1:10" ht="78" customHeight="1" x14ac:dyDescent="0.25">
      <c r="A9" s="91">
        <v>7</v>
      </c>
      <c r="B9" s="92" t="s">
        <v>226</v>
      </c>
      <c r="C9" s="93" t="s">
        <v>227</v>
      </c>
      <c r="D9" s="89" t="s">
        <v>37</v>
      </c>
      <c r="E9" s="95">
        <v>4</v>
      </c>
      <c r="F9" s="96">
        <v>8</v>
      </c>
      <c r="G9" s="32">
        <f t="shared" si="0"/>
        <v>5</v>
      </c>
      <c r="H9" s="84" t="s">
        <v>228</v>
      </c>
      <c r="I9" s="87" t="s">
        <v>222</v>
      </c>
      <c r="J9" s="33" t="s">
        <v>78</v>
      </c>
    </row>
    <row r="10" spans="1:10" ht="81" customHeight="1" x14ac:dyDescent="0.25">
      <c r="A10" s="34">
        <v>8</v>
      </c>
      <c r="B10" s="37" t="s">
        <v>229</v>
      </c>
      <c r="C10" s="38" t="s">
        <v>230</v>
      </c>
      <c r="D10" s="89" t="s">
        <v>37</v>
      </c>
      <c r="E10" s="95">
        <v>5.98</v>
      </c>
      <c r="F10" s="39">
        <v>20</v>
      </c>
      <c r="G10" s="35">
        <f t="shared" si="0"/>
        <v>2.99</v>
      </c>
      <c r="H10" s="84" t="s">
        <v>231</v>
      </c>
      <c r="I10" s="87" t="s">
        <v>232</v>
      </c>
      <c r="J10" s="33" t="s">
        <v>61</v>
      </c>
    </row>
    <row r="11" spans="1:10" ht="111.75" customHeight="1" x14ac:dyDescent="0.25">
      <c r="A11" s="91">
        <v>9</v>
      </c>
      <c r="B11" s="92" t="s">
        <v>233</v>
      </c>
      <c r="C11" s="93" t="s">
        <v>234</v>
      </c>
      <c r="D11" s="89" t="s">
        <v>37</v>
      </c>
      <c r="E11" s="95">
        <v>94</v>
      </c>
      <c r="F11" s="96">
        <v>99</v>
      </c>
      <c r="G11" s="32">
        <f t="shared" si="0"/>
        <v>9.4949494949494948</v>
      </c>
      <c r="H11" s="84" t="s">
        <v>235</v>
      </c>
      <c r="I11" s="87" t="s">
        <v>236</v>
      </c>
      <c r="J11" s="33" t="s">
        <v>61</v>
      </c>
    </row>
    <row r="12" spans="1:10" ht="97.5" customHeight="1" x14ac:dyDescent="0.25">
      <c r="A12" s="34">
        <v>10</v>
      </c>
      <c r="B12" s="37" t="s">
        <v>237</v>
      </c>
      <c r="C12" s="38" t="s">
        <v>238</v>
      </c>
      <c r="D12" s="89" t="s">
        <v>37</v>
      </c>
      <c r="E12" s="95">
        <v>99.2</v>
      </c>
      <c r="F12" s="39">
        <v>100</v>
      </c>
      <c r="G12" s="35">
        <f t="shared" si="0"/>
        <v>9.92</v>
      </c>
      <c r="H12" s="84" t="s">
        <v>239</v>
      </c>
      <c r="I12" s="87" t="s">
        <v>236</v>
      </c>
      <c r="J12" s="33" t="s">
        <v>61</v>
      </c>
    </row>
    <row r="13" spans="1:10" ht="90" customHeight="1" x14ac:dyDescent="0.25">
      <c r="A13" s="91">
        <v>11</v>
      </c>
      <c r="B13" s="92" t="s">
        <v>240</v>
      </c>
      <c r="C13" s="93" t="s">
        <v>241</v>
      </c>
      <c r="D13" s="89" t="s">
        <v>37</v>
      </c>
      <c r="E13" s="95">
        <v>1575</v>
      </c>
      <c r="F13" s="96">
        <v>2500</v>
      </c>
      <c r="G13" s="32">
        <f t="shared" si="0"/>
        <v>6.3</v>
      </c>
      <c r="H13" s="84" t="s">
        <v>242</v>
      </c>
      <c r="I13" s="87" t="s">
        <v>243</v>
      </c>
      <c r="J13" s="33" t="s">
        <v>78</v>
      </c>
    </row>
    <row r="14" spans="1:10" ht="60" customHeight="1" x14ac:dyDescent="0.25">
      <c r="A14" s="123" t="s">
        <v>92</v>
      </c>
      <c r="B14" s="124"/>
      <c r="C14" s="124"/>
      <c r="D14" s="124"/>
      <c r="E14" s="124"/>
      <c r="F14" s="125"/>
      <c r="G14" s="86">
        <f>IFERROR(AVERAGEIF(G3:G13,"&lt;&gt;–"),0)</f>
        <v>5.0222080758444392</v>
      </c>
      <c r="H14" s="84"/>
      <c r="I14" s="85"/>
      <c r="J14" s="33"/>
    </row>
  </sheetData>
  <mergeCells count="2">
    <mergeCell ref="A14:F14"/>
    <mergeCell ref="A1:J1"/>
  </mergeCells>
  <hyperlinks>
    <hyperlink ref="I6" r:id="rId1"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showGridLines="0" topLeftCell="A9" workbookViewId="0">
      <selection activeCell="C11" sqref="C11"/>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x14ac:dyDescent="0.25">
      <c r="A1" s="121" t="s">
        <v>244</v>
      </c>
      <c r="B1" s="112"/>
      <c r="C1" s="112"/>
      <c r="D1" s="112"/>
      <c r="E1" s="112"/>
      <c r="F1" s="112"/>
      <c r="G1" s="112"/>
      <c r="H1" s="112"/>
      <c r="I1" s="112"/>
      <c r="J1" s="112"/>
    </row>
    <row r="2" spans="1:10" ht="30" customHeight="1" x14ac:dyDescent="0.25">
      <c r="A2" s="121" t="s">
        <v>245</v>
      </c>
      <c r="B2" s="112"/>
      <c r="C2" s="112"/>
      <c r="D2" s="112"/>
      <c r="E2" s="112"/>
      <c r="F2" s="112"/>
      <c r="G2" s="112"/>
      <c r="H2" s="112"/>
      <c r="I2" s="112"/>
      <c r="J2" s="112"/>
    </row>
    <row r="3" spans="1:10" ht="30" customHeight="1" x14ac:dyDescent="0.25">
      <c r="A3" s="43" t="s">
        <v>25</v>
      </c>
      <c r="B3" s="44" t="s">
        <v>26</v>
      </c>
      <c r="C3" s="44" t="s">
        <v>27</v>
      </c>
      <c r="D3" s="44" t="s">
        <v>28</v>
      </c>
      <c r="E3" s="44" t="s">
        <v>29</v>
      </c>
      <c r="F3" s="44" t="s">
        <v>30</v>
      </c>
      <c r="G3" s="44" t="s">
        <v>31</v>
      </c>
      <c r="H3" s="44" t="s">
        <v>146</v>
      </c>
      <c r="I3" s="44" t="s">
        <v>33</v>
      </c>
      <c r="J3" s="45" t="s">
        <v>34</v>
      </c>
    </row>
    <row r="4" spans="1:10" ht="109.5" customHeight="1" x14ac:dyDescent="0.25">
      <c r="A4" s="91">
        <v>1</v>
      </c>
      <c r="B4" s="92" t="s">
        <v>246</v>
      </c>
      <c r="C4" s="93" t="s">
        <v>247</v>
      </c>
      <c r="D4" s="97" t="s">
        <v>37</v>
      </c>
      <c r="E4" s="95">
        <v>286</v>
      </c>
      <c r="F4" s="96">
        <v>800</v>
      </c>
      <c r="G4" s="32">
        <f t="shared" ref="G4:G13" si="0">IF(E4="","–",IF(D4="Negativo ↓",MIN(10,MAX(0,IFERROR(F4/E4*10,0))),MIN(10,MAX(0,IFERROR(E4/F4*10,0)))))</f>
        <v>3.5749999999999997</v>
      </c>
      <c r="H4" s="84" t="s">
        <v>248</v>
      </c>
      <c r="I4" s="87" t="s">
        <v>249</v>
      </c>
      <c r="J4" s="33" t="s">
        <v>83</v>
      </c>
    </row>
    <row r="5" spans="1:10" ht="118.5" customHeight="1" x14ac:dyDescent="0.25">
      <c r="A5" s="34">
        <v>2</v>
      </c>
      <c r="B5" s="37" t="s">
        <v>250</v>
      </c>
      <c r="C5" s="38" t="s">
        <v>251</v>
      </c>
      <c r="D5" s="97" t="s">
        <v>37</v>
      </c>
      <c r="E5" s="95">
        <v>21900000</v>
      </c>
      <c r="F5" s="39">
        <v>18000000</v>
      </c>
      <c r="G5" s="35">
        <f t="shared" si="0"/>
        <v>10</v>
      </c>
      <c r="H5" s="84" t="s">
        <v>252</v>
      </c>
      <c r="I5" s="87" t="s">
        <v>253</v>
      </c>
      <c r="J5" s="33" t="s">
        <v>102</v>
      </c>
    </row>
    <row r="6" spans="1:10" ht="105.75" customHeight="1" x14ac:dyDescent="0.25">
      <c r="A6" s="91">
        <v>3</v>
      </c>
      <c r="B6" s="92" t="s">
        <v>254</v>
      </c>
      <c r="C6" s="93" t="s">
        <v>255</v>
      </c>
      <c r="D6" s="97" t="s">
        <v>37</v>
      </c>
      <c r="E6" s="95">
        <v>213487</v>
      </c>
      <c r="F6" s="96">
        <v>150000</v>
      </c>
      <c r="G6" s="32">
        <f t="shared" si="0"/>
        <v>10</v>
      </c>
      <c r="H6" s="84" t="s">
        <v>256</v>
      </c>
      <c r="I6" s="87" t="s">
        <v>257</v>
      </c>
      <c r="J6" s="33" t="s">
        <v>78</v>
      </c>
    </row>
    <row r="7" spans="1:10" ht="87.75" customHeight="1" x14ac:dyDescent="0.25">
      <c r="A7" s="34">
        <v>4</v>
      </c>
      <c r="B7" s="37" t="s">
        <v>258</v>
      </c>
      <c r="C7" s="38" t="s">
        <v>259</v>
      </c>
      <c r="D7" s="97" t="s">
        <v>37</v>
      </c>
      <c r="E7" s="95">
        <v>402252</v>
      </c>
      <c r="F7" s="39">
        <v>600000</v>
      </c>
      <c r="G7" s="35">
        <f t="shared" si="0"/>
        <v>6.7042000000000002</v>
      </c>
      <c r="H7" s="84" t="s">
        <v>260</v>
      </c>
      <c r="I7" s="87" t="s">
        <v>261</v>
      </c>
      <c r="J7" s="33" t="s">
        <v>83</v>
      </c>
    </row>
    <row r="8" spans="1:10" ht="87.75" customHeight="1" x14ac:dyDescent="0.25">
      <c r="A8" s="91">
        <v>5</v>
      </c>
      <c r="B8" s="92" t="s">
        <v>262</v>
      </c>
      <c r="C8" s="93" t="s">
        <v>263</v>
      </c>
      <c r="D8" s="97" t="s">
        <v>37</v>
      </c>
      <c r="E8" s="95">
        <v>77950</v>
      </c>
      <c r="F8" s="96">
        <v>150000</v>
      </c>
      <c r="G8" s="32">
        <f t="shared" si="0"/>
        <v>5.1966666666666672</v>
      </c>
      <c r="H8" s="84" t="s">
        <v>264</v>
      </c>
      <c r="I8" s="87" t="s">
        <v>265</v>
      </c>
      <c r="J8" s="33" t="s">
        <v>83</v>
      </c>
    </row>
    <row r="9" spans="1:10" ht="87.75" customHeight="1" x14ac:dyDescent="0.25">
      <c r="A9" s="34">
        <v>6</v>
      </c>
      <c r="B9" s="37" t="s">
        <v>266</v>
      </c>
      <c r="C9" s="38" t="s">
        <v>267</v>
      </c>
      <c r="D9" s="97" t="s">
        <v>37</v>
      </c>
      <c r="E9" s="95">
        <v>3</v>
      </c>
      <c r="F9" s="39">
        <v>3</v>
      </c>
      <c r="G9" s="35">
        <f t="shared" si="0"/>
        <v>10</v>
      </c>
      <c r="H9" s="84" t="s">
        <v>268</v>
      </c>
      <c r="I9" s="87" t="s">
        <v>269</v>
      </c>
      <c r="J9" s="33" t="s">
        <v>78</v>
      </c>
    </row>
    <row r="10" spans="1:10" ht="87.75" customHeight="1" x14ac:dyDescent="0.25">
      <c r="A10" s="91">
        <v>7</v>
      </c>
      <c r="B10" s="92" t="s">
        <v>270</v>
      </c>
      <c r="C10" s="93" t="s">
        <v>271</v>
      </c>
      <c r="D10" s="97" t="s">
        <v>37</v>
      </c>
      <c r="E10" s="95">
        <v>1108</v>
      </c>
      <c r="F10" s="96">
        <v>2000</v>
      </c>
      <c r="G10" s="32">
        <f t="shared" si="0"/>
        <v>5.5400000000000009</v>
      </c>
      <c r="H10" s="84" t="s">
        <v>272</v>
      </c>
      <c r="I10" s="87" t="s">
        <v>269</v>
      </c>
      <c r="J10" s="33" t="s">
        <v>78</v>
      </c>
    </row>
    <row r="11" spans="1:10" ht="87.75" customHeight="1" x14ac:dyDescent="0.25">
      <c r="A11" s="34">
        <v>8</v>
      </c>
      <c r="B11" s="37" t="s">
        <v>273</v>
      </c>
      <c r="C11" s="38" t="s">
        <v>274</v>
      </c>
      <c r="D11" s="97" t="s">
        <v>37</v>
      </c>
      <c r="E11" s="95">
        <v>2</v>
      </c>
      <c r="F11" s="39">
        <v>4</v>
      </c>
      <c r="G11" s="35">
        <f t="shared" si="0"/>
        <v>5</v>
      </c>
      <c r="H11" s="84" t="s">
        <v>275</v>
      </c>
      <c r="I11" s="87" t="s">
        <v>276</v>
      </c>
      <c r="J11" s="33" t="s">
        <v>102</v>
      </c>
    </row>
    <row r="12" spans="1:10" ht="105" customHeight="1" x14ac:dyDescent="0.25">
      <c r="A12" s="91">
        <v>9</v>
      </c>
      <c r="B12" s="98" t="s">
        <v>277</v>
      </c>
      <c r="C12" s="93" t="s">
        <v>278</v>
      </c>
      <c r="D12" s="97" t="s">
        <v>37</v>
      </c>
      <c r="E12" s="95">
        <v>21104000</v>
      </c>
      <c r="F12" s="96">
        <v>40000000</v>
      </c>
      <c r="G12" s="32">
        <f t="shared" si="0"/>
        <v>5.2759999999999998</v>
      </c>
      <c r="H12" s="84" t="s">
        <v>279</v>
      </c>
      <c r="I12" s="87" t="s">
        <v>280</v>
      </c>
      <c r="J12" s="33" t="s">
        <v>83</v>
      </c>
    </row>
    <row r="13" spans="1:10" ht="102.75" customHeight="1" x14ac:dyDescent="0.25">
      <c r="A13" s="34">
        <v>10</v>
      </c>
      <c r="B13" s="37" t="s">
        <v>281</v>
      </c>
      <c r="C13" s="38" t="s">
        <v>282</v>
      </c>
      <c r="D13" s="97" t="s">
        <v>37</v>
      </c>
      <c r="E13" s="95">
        <v>324302</v>
      </c>
      <c r="F13" s="39">
        <v>400000</v>
      </c>
      <c r="G13" s="35">
        <f t="shared" si="0"/>
        <v>8.1075499999999998</v>
      </c>
      <c r="H13" s="84" t="s">
        <v>283</v>
      </c>
      <c r="I13" s="87" t="s">
        <v>284</v>
      </c>
      <c r="J13" s="33" t="s">
        <v>83</v>
      </c>
    </row>
    <row r="14" spans="1:10" ht="53.25" customHeight="1" x14ac:dyDescent="0.25">
      <c r="A14" s="123" t="s">
        <v>92</v>
      </c>
      <c r="B14" s="124"/>
      <c r="C14" s="124"/>
      <c r="D14" s="124"/>
      <c r="E14" s="124"/>
      <c r="F14" s="125"/>
      <c r="G14" s="86">
        <f>IFERROR(AVERAGEIF(G4:G13,"&lt;&gt;–"),0)</f>
        <v>6.9399416666666669</v>
      </c>
      <c r="H14" s="84"/>
      <c r="I14" s="87"/>
      <c r="J14" s="33"/>
    </row>
  </sheetData>
  <mergeCells count="3">
    <mergeCell ref="A14:F14"/>
    <mergeCell ref="A1:J1"/>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topLeftCell="A4" workbookViewId="0">
      <selection activeCell="F11" sqref="F11"/>
    </sheetView>
  </sheetViews>
  <sheetFormatPr baseColWidth="10" defaultColWidth="9.140625" defaultRowHeight="15" x14ac:dyDescent="0.25"/>
  <cols>
    <col min="1" max="1" width="4" style="90" customWidth="1"/>
    <col min="2" max="2" width="30" style="90" customWidth="1"/>
    <col min="3" max="5" width="18" style="90" customWidth="1"/>
    <col min="6" max="6" width="22" style="90" customWidth="1"/>
  </cols>
  <sheetData>
    <row r="1" spans="2:6" ht="32.1" customHeight="1" x14ac:dyDescent="0.25">
      <c r="B1" s="135" t="s">
        <v>285</v>
      </c>
      <c r="C1" s="112"/>
      <c r="D1" s="112"/>
      <c r="E1" s="112"/>
      <c r="F1" s="112"/>
    </row>
    <row r="2" spans="2:6" x14ac:dyDescent="0.25">
      <c r="B2" s="128" t="s">
        <v>286</v>
      </c>
      <c r="C2" s="112"/>
      <c r="D2" s="112"/>
      <c r="E2" s="112"/>
      <c r="F2" s="112"/>
    </row>
    <row r="4" spans="2:6" ht="27.95" customHeight="1" x14ac:dyDescent="0.25">
      <c r="B4" s="15" t="s">
        <v>2</v>
      </c>
      <c r="C4" s="15" t="s">
        <v>287</v>
      </c>
      <c r="D4" s="15" t="s">
        <v>3</v>
      </c>
      <c r="E4" s="15" t="s">
        <v>4</v>
      </c>
      <c r="F4" s="15" t="s">
        <v>288</v>
      </c>
    </row>
    <row r="5" spans="2:6" ht="27.95" customHeight="1" x14ac:dyDescent="0.25">
      <c r="B5" s="16" t="s">
        <v>289</v>
      </c>
      <c r="C5" s="17">
        <f>'Capital Humano'!G16</f>
        <v>6.2249862758020189</v>
      </c>
      <c r="D5" s="107">
        <f>Portada!C10</f>
        <v>13</v>
      </c>
      <c r="E5" s="17">
        <f>Portada!D10</f>
        <v>16</v>
      </c>
      <c r="F5" s="18">
        <f t="shared" ref="F5:F10" si="0">(C5*E5/100)</f>
        <v>0.99599780412832306</v>
      </c>
    </row>
    <row r="6" spans="2:6" ht="27.95" customHeight="1" x14ac:dyDescent="0.25">
      <c r="B6" s="19" t="s">
        <v>8</v>
      </c>
      <c r="C6" s="20">
        <f>'Cohesión Social'!G16</f>
        <v>5.9630104307763592</v>
      </c>
      <c r="D6" s="107">
        <f>Portada!C11</f>
        <v>13</v>
      </c>
      <c r="E6" s="20">
        <f>Portada!D11</f>
        <v>16</v>
      </c>
      <c r="F6" s="18">
        <f t="shared" si="0"/>
        <v>0.95408166892421742</v>
      </c>
    </row>
    <row r="7" spans="2:6" ht="27.95" customHeight="1" x14ac:dyDescent="0.25">
      <c r="B7" s="16" t="s">
        <v>10</v>
      </c>
      <c r="C7" s="17">
        <f>Economía!G9</f>
        <v>5.3375176767676757</v>
      </c>
      <c r="D7" s="107">
        <f>Portada!C12</f>
        <v>6</v>
      </c>
      <c r="E7" s="17">
        <f>Portada!D12</f>
        <v>16</v>
      </c>
      <c r="F7" s="18">
        <f t="shared" si="0"/>
        <v>0.85400282828282814</v>
      </c>
    </row>
    <row r="8" spans="2:6" ht="27.95" customHeight="1" x14ac:dyDescent="0.25">
      <c r="B8" s="19" t="s">
        <v>12</v>
      </c>
      <c r="C8" s="20">
        <f>Gobernanza!G10</f>
        <v>6.8319774436090217</v>
      </c>
      <c r="D8" s="107">
        <f>Portada!C13</f>
        <v>7</v>
      </c>
      <c r="E8" s="20">
        <f>Portada!D13</f>
        <v>16</v>
      </c>
      <c r="F8" s="18">
        <f t="shared" si="0"/>
        <v>1.0931163909774435</v>
      </c>
    </row>
    <row r="9" spans="2:6" ht="27.95" customHeight="1" x14ac:dyDescent="0.25">
      <c r="B9" s="16" t="s">
        <v>14</v>
      </c>
      <c r="C9" s="17">
        <f>'Medio Ambiente'!G14</f>
        <v>5.0222080758444392</v>
      </c>
      <c r="D9" s="107">
        <f>Portada!C14</f>
        <v>11</v>
      </c>
      <c r="E9" s="17">
        <f>Portada!D14</f>
        <v>16</v>
      </c>
      <c r="F9" s="18">
        <f t="shared" si="0"/>
        <v>0.80355329213511029</v>
      </c>
    </row>
    <row r="10" spans="2:6" ht="27.95" customHeight="1" x14ac:dyDescent="0.25">
      <c r="B10" s="19" t="s">
        <v>16</v>
      </c>
      <c r="C10" s="20">
        <f>Frontera!G14</f>
        <v>6.9399416666666669</v>
      </c>
      <c r="D10" s="107">
        <f>Portada!C15</f>
        <v>10</v>
      </c>
      <c r="E10" s="20">
        <f>Portada!D15</f>
        <v>20</v>
      </c>
      <c r="F10" s="18">
        <f t="shared" si="0"/>
        <v>1.3879883333333334</v>
      </c>
    </row>
    <row r="11" spans="2:6" ht="32.1" customHeight="1" x14ac:dyDescent="0.25">
      <c r="B11" s="129" t="s">
        <v>290</v>
      </c>
      <c r="C11" s="130"/>
      <c r="D11" s="46">
        <f>SUM(D5:D10)</f>
        <v>60</v>
      </c>
      <c r="E11" s="46">
        <f>SUM(E5:E10)</f>
        <v>100</v>
      </c>
      <c r="F11" s="21">
        <f>SUM(F5:F10)</f>
        <v>6.088740317781256</v>
      </c>
    </row>
    <row r="13" spans="2:6" ht="21.95" customHeight="1" x14ac:dyDescent="0.25">
      <c r="B13" s="136" t="s">
        <v>291</v>
      </c>
      <c r="C13" s="112"/>
      <c r="D13" s="112"/>
      <c r="E13" s="112"/>
      <c r="F13" s="112"/>
    </row>
    <row r="14" spans="2:6" ht="21.95" customHeight="1" x14ac:dyDescent="0.25">
      <c r="B14" s="22" t="s">
        <v>292</v>
      </c>
      <c r="C14" s="23" t="s">
        <v>293</v>
      </c>
      <c r="D14" s="126" t="s">
        <v>294</v>
      </c>
      <c r="E14" s="124"/>
      <c r="F14" s="127"/>
    </row>
    <row r="15" spans="2:6" ht="21.95" customHeight="1" x14ac:dyDescent="0.25">
      <c r="B15" s="24" t="s">
        <v>295</v>
      </c>
      <c r="C15" s="25" t="s">
        <v>296</v>
      </c>
      <c r="D15" s="134" t="s">
        <v>297</v>
      </c>
      <c r="E15" s="124"/>
      <c r="F15" s="127"/>
    </row>
    <row r="16" spans="2:6" ht="21.95" customHeight="1" x14ac:dyDescent="0.25">
      <c r="B16" s="26" t="s">
        <v>298</v>
      </c>
      <c r="C16" s="27" t="s">
        <v>299</v>
      </c>
      <c r="D16" s="126" t="s">
        <v>300</v>
      </c>
      <c r="E16" s="124"/>
      <c r="F16" s="127"/>
    </row>
    <row r="17" spans="2:6" ht="21.95" customHeight="1" x14ac:dyDescent="0.25">
      <c r="B17" s="28" t="s">
        <v>301</v>
      </c>
      <c r="C17" s="29" t="s">
        <v>302</v>
      </c>
      <c r="D17" s="134" t="s">
        <v>303</v>
      </c>
      <c r="E17" s="124"/>
      <c r="F17" s="127"/>
    </row>
    <row r="18" spans="2:6" ht="21.95" customHeight="1" x14ac:dyDescent="0.25">
      <c r="B18" s="30" t="s">
        <v>304</v>
      </c>
      <c r="C18" s="31" t="s">
        <v>305</v>
      </c>
      <c r="D18" s="131" t="s">
        <v>306</v>
      </c>
      <c r="E18" s="132"/>
      <c r="F18" s="133"/>
    </row>
  </sheetData>
  <mergeCells count="9">
    <mergeCell ref="B1:F1"/>
    <mergeCell ref="D15:F15"/>
    <mergeCell ref="D16:F16"/>
    <mergeCell ref="B13:F13"/>
    <mergeCell ref="D14:F14"/>
    <mergeCell ref="B2:F2"/>
    <mergeCell ref="B11:C11"/>
    <mergeCell ref="D18:F18"/>
    <mergeCell ref="D17:F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Capital Humano</vt:lpstr>
      <vt:lpstr>Cohesión Social</vt:lpstr>
      <vt:lpstr>Economía</vt:lpstr>
      <vt:lpstr>Gobernanza</vt:lpstr>
      <vt:lpstr>Medio Ambiente</vt:lpstr>
      <vt:lpstr>Frontera</vt:lpstr>
      <vt:lpstr>Resumen Puntajes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Portillo</cp:lastModifiedBy>
  <dcterms:created xsi:type="dcterms:W3CDTF">2026-03-11T20:49:32Z</dcterms:created>
  <dcterms:modified xsi:type="dcterms:W3CDTF">2026-05-18T06:01:42Z</dcterms:modified>
</cp:coreProperties>
</file>